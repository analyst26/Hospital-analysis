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0800ce9f9e86d64e/Documents/New folder/"/>
    </mc:Choice>
  </mc:AlternateContent>
  <xr:revisionPtr revIDLastSave="201" documentId="8_{6F8BD502-487D-47FC-B36E-9C65A602ABE6}" xr6:coauthVersionLast="47" xr6:coauthVersionMax="47" xr10:uidLastSave="{8E81D8F2-5C2D-44FE-9D31-532F8D6A9E8F}"/>
  <bookViews>
    <workbookView xWindow="-108" yWindow="-108" windowWidth="23256" windowHeight="12456" xr2:uid="{A0FDA73B-85BC-46E2-96BA-D12367314F46}"/>
  </bookViews>
  <sheets>
    <sheet name="Pivot Report" sheetId="1" r:id="rId1"/>
    <sheet name="Dashbord " sheetId="3" r:id="rId2"/>
    <sheet name="Daily ER No. of Patient " sheetId="4" r:id="rId3"/>
    <sheet name="Average wait time daily trend" sheetId="5" r:id="rId4"/>
    <sheet name="Satisfaction score daily tre   " sheetId="6"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s>
  <extLst>
    <ext xmlns:x14="http://schemas.microsoft.com/office/spreadsheetml/2009/9/main" uri="{876F7934-8845-4945-9796-88D515C7AA90}">
      <x14:pivotCaches>
        <pivotCache cacheId="13" r:id="rId19"/>
        <pivotCache cacheId="14"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cd93e8b-24ce-4041-986a-0fdc7d4a6e2a" name="Hospital Emergency Room Data" connection="Query - Hospital Emergency Room Data"/>
          <x15:modelTable id="Calendar Table_ee6402bb-97e7-450f-be94-198989ebee2c" name="Calendar Table" connection="Query - Calendar Table"/>
        </x15:modelTables>
        <x15:modelRelationships>
          <x15:modelRelationship fromTable="Hospital Emergency Room Data" fromColumn="Patient Admission Date" toTable="Calendar Table" toColumn="Date"/>
        </x15:modelRelationships>
        <x15:extLst>
          <ext xmlns:x16="http://schemas.microsoft.com/office/spreadsheetml/2014/11/main" uri="{9835A34E-60A6-4A7C-AAB8-D5F71C897F49}">
            <x16:modelTimeGroupings>
              <x16:modelTimeGrouping tableName="Calenda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7" i="1" l="1"/>
  <c r="C47" i="1"/>
  <c r="B48" i="1"/>
  <c r="C48" i="1"/>
  <c r="A47"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1ACCA5-5072-46C5-BD67-EBE0E81A349E}" name="Query - Calendar Table" description="Connection to the 'Calendar Table' query in the workbook." type="100" refreshedVersion="8" minRefreshableVersion="5">
    <extLst>
      <ext xmlns:x15="http://schemas.microsoft.com/office/spreadsheetml/2010/11/main" uri="{DE250136-89BD-433C-8126-D09CA5730AF9}">
        <x15:connection id="ddb5e4e1-fb7d-4d99-8f8b-3174a14ca4b7"/>
      </ext>
    </extLst>
  </connection>
  <connection id="2" xr16:uid="{F2352807-0368-4FF1-ADC6-5353AC822EA9}"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2ea3f550-f61c-406b-ae58-64f5a81837e4"/>
      </ext>
    </extLst>
  </connection>
  <connection id="3" xr16:uid="{587B14A9-F20E-450B-8197-3A883DA6FF7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<sst xmlns="http://schemas.openxmlformats.org/spreadsheetml/2006/main" count="188" uniqueCount="74">
  <si>
    <t>Count of Patient Id</t>
  </si>
  <si>
    <t>Distinct Count of Patient Id</t>
  </si>
  <si>
    <t>No.of Patient</t>
  </si>
  <si>
    <t>Average of Patient Waittime</t>
  </si>
  <si>
    <t>Average of Patient Satisfaction Score</t>
  </si>
  <si>
    <t>Grand Total</t>
  </si>
  <si>
    <t>2023</t>
  </si>
  <si>
    <t>Row Labels</t>
  </si>
  <si>
    <t>Daily trends of no of patient</t>
  </si>
  <si>
    <t>average wait time</t>
  </si>
  <si>
    <t>satisfation score daily  trend</t>
  </si>
  <si>
    <t>Count of Patient Admission Flag</t>
  </si>
  <si>
    <t>Admitted</t>
  </si>
  <si>
    <t>Not Admitted</t>
  </si>
  <si>
    <t>Count of Patient Admission Flag2</t>
  </si>
  <si>
    <t xml:space="preserve">Admission Status </t>
  </si>
  <si>
    <t xml:space="preserve">No. off Patient </t>
  </si>
  <si>
    <t>%Status</t>
  </si>
  <si>
    <t>0-09</t>
  </si>
  <si>
    <t>10-19</t>
  </si>
  <si>
    <t>20-29</t>
  </si>
  <si>
    <t>30-39</t>
  </si>
  <si>
    <t>40-49</t>
  </si>
  <si>
    <t>50-59</t>
  </si>
  <si>
    <t>60-69</t>
  </si>
  <si>
    <t>70-79</t>
  </si>
  <si>
    <t>Count of Age Group</t>
  </si>
  <si>
    <t>age gorup wise analysis</t>
  </si>
  <si>
    <t>Delay</t>
  </si>
  <si>
    <t>Ontime</t>
  </si>
  <si>
    <t>attended status</t>
  </si>
  <si>
    <t>Female</t>
  </si>
  <si>
    <t>Male</t>
  </si>
  <si>
    <t>Count of Patient Gender</t>
  </si>
  <si>
    <t>Cardiology</t>
  </si>
  <si>
    <t>Gastroenterology</t>
  </si>
  <si>
    <t>General Practice</t>
  </si>
  <si>
    <t>Neurology</t>
  </si>
  <si>
    <t>None</t>
  </si>
  <si>
    <t>Orthopedics</t>
  </si>
  <si>
    <t>Physiotherapy</t>
  </si>
  <si>
    <t>Renal</t>
  </si>
  <si>
    <t>Count of Department Referral</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</si>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</sst>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0" xfId="0" pivotButton="1"/>
    <xf numFmtId="2" fontId="0" fillId="0" borderId="0" xfId="0" applyNumberFormat="1"/>
    <xf numFmtId="0" fontId="0" fillId="0" borderId="0" xfId="0" applyAlignment="1">
      <alignment horizontal="left"/>
    </xf>
    <xf numFmtId="1" fontId="0" fillId="0" borderId="0" xfId="0" applyNumberFormat="1"/>
    <xf numFmtId="10" fontId="0" fillId="0" borderId="0" xfId="0" applyNumberFormat="1"/>
    <xf numFmtId="9" fontId="0" fillId="0" borderId="0" xfId="1" applyFont="1" applyAlignment="1">
      <alignment horizontal="center" vertical="center"/>
    </xf>
    <xf numFmtId="0" fontId="0" fillId="0" borderId="0" xfId="0" applyAlignment="1">
      <alignment horizontal="center"/>
    </xf>
    <xf numFmtId="0" fontId="2" fillId="0" borderId="0" xfId="0" applyFont="1" applyAlignment="1">
      <alignment horizontal="center"/>
    </xf>
    <xf numFmtId="0" fontId="0" fillId="2" borderId="0" xfId="0" applyFill="1"/>
    <xf numFmtId="0" fontId="0" fillId="2" borderId="0" xfId="0" applyFill="1" applyAlignment="1">
      <alignment horizontal="left"/>
    </xf>
  </cellXfs>
  <cellStyles count="2">
    <cellStyle name="Normal" xfId="0" builtinId="0"/>
    <cellStyle name="Percent" xfId="1" builtinId="5"/>
  </cellStyles>
  <dxfs count="20">
    <dxf>
      <numFmt numFmtId="14"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font>
        <sz val="16"/>
      </font>
      <fill>
        <patternFill patternType="none">
          <bgColor auto="1"/>
        </patternFill>
      </fill>
    </dxf>
    <dxf>
      <font>
        <b/>
        <color theme="1"/>
      </font>
      <border>
        <bottom style="thin">
          <color theme="4"/>
        </bottom>
        <vertical/>
        <horizontal/>
      </border>
    </dxf>
    <dxf>
      <font>
        <b/>
        <i val="0"/>
        <sz val="16"/>
        <color theme="1"/>
      </font>
      <fill>
        <patternFill patternType="none">
          <bgColor auto="1"/>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8"/>
        <color theme="1"/>
      </font>
      <fill>
        <patternFill>
          <bgColor rgb="FF846DD9"/>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18"/>
        <color theme="1"/>
      </font>
      <fill>
        <patternFill patternType="solid">
          <bgColor theme="7" tint="-0.24994659260841701"/>
        </patternFill>
      </fill>
      <border diagonalUp="0" diagonalDown="0">
        <left/>
        <right/>
        <top/>
        <bottom/>
        <vertical/>
        <horizontal/>
      </border>
    </dxf>
    <dxf>
      <fill>
        <patternFill>
          <bgColor theme="3" tint="0.749961851863155"/>
        </patternFill>
      </fill>
    </dxf>
    <dxf>
      <fill>
        <patternFill>
          <bgColor rgb="FF6666FF"/>
        </patternFill>
      </fill>
    </dxf>
  </dxfs>
  <tableStyles count="6" defaultTableStyle="TableStyleMedium2" defaultPivotStyle="PivotStyleLight16">
    <tableStyle name="2" pivot="0" table="0" count="2" xr9:uid="{AC852CBA-628D-4F4C-B558-3DCC13AB0A93}">
      <tableStyleElement type="wholeTable" dxfId="19"/>
      <tableStyleElement type="headerRow" dxfId="18"/>
    </tableStyle>
    <tableStyle name="My Style" pivot="0" table="0" count="10" xr9:uid="{AA5B983D-0479-48FC-9D57-27B04D1153AC}">
      <tableStyleElement type="wholeTable" dxfId="17"/>
      <tableStyleElement type="headerRow" dxfId="16"/>
    </tableStyle>
    <tableStyle name="My Style " pivot="0" table="0" count="10" xr9:uid="{7D64A46E-2668-4A50-A086-13DF1EC85CFB}">
      <tableStyleElement type="wholeTable" dxfId="15"/>
      <tableStyleElement type="headerRow" dxfId="14"/>
    </tableStyle>
    <tableStyle name="My Style 2" pivot="0" table="0" count="10" xr9:uid="{909F99FC-91A7-4784-8F42-EB07A36DBD36}">
      <tableStyleElement type="wholeTable" dxfId="13"/>
      <tableStyleElement type="headerRow" dxfId="12"/>
    </tableStyle>
    <tableStyle name="Slicer Style 1" pivot="0" table="0" count="1" xr9:uid="{F1B326A2-E03A-4BF0-A5F6-560F649E2810}">
      <tableStyleElement type="wholeTable" dxfId="11"/>
    </tableStyle>
    <tableStyle name="Slicer Style 2" pivot="0" table="0" count="0" xr9:uid="{50364326-C52D-46BE-97C7-0BDD17F3CD3D}"/>
  </tableStyles>
  <colors>
    <mruColors>
      <color rgb="FF60C5F2"/>
      <color rgb="FF9BDBF7"/>
      <color rgb="FFF0F8FD"/>
      <color rgb="FF00518E"/>
      <color rgb="FF0C769E"/>
      <color rgb="FF084F6A"/>
      <color rgb="FF6666FF"/>
      <color rgb="FF846DD9"/>
      <color rgb="FF301E74"/>
      <color rgb="FFE9ECF5"/>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2"/>
        <x14:slicerStyle name="My Style">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y Style ">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07/relationships/slicerCache" Target="slicerCaches/slicerCache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7.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5.xml"/><Relationship Id="rId41" Type="http://schemas.openxmlformats.org/officeDocument/2006/relationships/customXml" Target="../customXml/item12.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Dashbord.xlsx]Pivot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B7C2B5D7-5056-4EDB-99DE-D8FD5E5E9540}"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E98CDEBF-76E8-4164-9CF4-42FFD7FF5F61}"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0"/>
          <c:y val="3.8689611341603564E-2"/>
          <c:w val="0.90406091754023277"/>
          <c:h val="0.96131038865839646"/>
        </c:manualLayout>
      </c:layout>
      <c:barChart>
        <c:barDir val="bar"/>
        <c:grouping val="clustered"/>
        <c:varyColors val="0"/>
        <c:ser>
          <c:idx val="0"/>
          <c:order val="0"/>
          <c:tx>
            <c:strRef>
              <c:f>'Pivot Report'!$B$37</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0392-415A-9D96-49F117A5D423}"/>
              </c:ext>
            </c:extLst>
          </c:dPt>
          <c:dPt>
            <c:idx val="1"/>
            <c:invertIfNegative val="0"/>
            <c:bubble3D val="0"/>
            <c:extLst>
              <c:ext xmlns:c16="http://schemas.microsoft.com/office/drawing/2014/chart" uri="{C3380CC4-5D6E-409C-BE32-E72D297353CC}">
                <c16:uniqueId val="{00000001-0392-415A-9D96-49F117A5D423}"/>
              </c:ext>
            </c:extLst>
          </c:dPt>
          <c:dLbls>
            <c:dLbl>
              <c:idx val="0"/>
              <c:tx>
                <c:rich>
                  <a:bodyPr/>
                  <a:lstStyle/>
                  <a:p>
                    <a:fld id="{B7C2B5D7-5056-4EDB-99DE-D8FD5E5E954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0392-415A-9D96-49F117A5D423}"/>
                </c:ext>
              </c:extLst>
            </c:dLbl>
            <c:dLbl>
              <c:idx val="1"/>
              <c:tx>
                <c:rich>
                  <a:bodyPr/>
                  <a:lstStyle/>
                  <a:p>
                    <a:fld id="{E98CDEBF-76E8-4164-9CF4-42FFD7FF5F6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392-415A-9D96-49F117A5D423}"/>
                </c:ext>
              </c:extLst>
            </c:dLbl>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Report'!$A$38:$A$40</c:f>
              <c:strCache>
                <c:ptCount val="2"/>
                <c:pt idx="0">
                  <c:v>Admitted</c:v>
                </c:pt>
                <c:pt idx="1">
                  <c:v>Not Admitted</c:v>
                </c:pt>
              </c:strCache>
            </c:strRef>
          </c:cat>
          <c:val>
            <c:numRef>
              <c:f>'Pivot Report'!$B$38:$B$40</c:f>
              <c:numCache>
                <c:formatCode>0</c:formatCode>
                <c:ptCount val="2"/>
                <c:pt idx="0">
                  <c:v>250</c:v>
                </c:pt>
                <c:pt idx="1">
                  <c:v>239</c:v>
                </c:pt>
              </c:numCache>
            </c:numRef>
          </c:val>
          <c:extLst>
            <c:ext xmlns:c16="http://schemas.microsoft.com/office/drawing/2014/chart" uri="{C3380CC4-5D6E-409C-BE32-E72D297353CC}">
              <c16:uniqueId val="{00000002-E524-4DC3-998B-DC00BC5D828E}"/>
            </c:ext>
          </c:extLst>
        </c:ser>
        <c:ser>
          <c:idx val="1"/>
          <c:order val="1"/>
          <c:tx>
            <c:strRef>
              <c:f>'Pivot Report'!$C$37</c:f>
              <c:strCache>
                <c:ptCount val="1"/>
                <c:pt idx="0">
                  <c:v>Count of Patient Admission Flag2</c:v>
                </c:pt>
              </c:strCache>
            </c:strRef>
          </c:tx>
          <c:spPr>
            <a:solidFill>
              <a:schemeClr val="accent2"/>
            </a:solidFill>
            <a:ln>
              <a:noFill/>
            </a:ln>
            <a:effectLst/>
          </c:spPr>
          <c:invertIfNegative val="0"/>
          <c:cat>
            <c:strRef>
              <c:f>'Pivot Report'!$A$38:$A$40</c:f>
              <c:strCache>
                <c:ptCount val="2"/>
                <c:pt idx="0">
                  <c:v>Admitted</c:v>
                </c:pt>
                <c:pt idx="1">
                  <c:v>Not Admitted</c:v>
                </c:pt>
              </c:strCache>
            </c:strRef>
          </c:cat>
          <c:val>
            <c:numRef>
              <c:f>'Pivot Report'!$C$38:$C$40</c:f>
              <c:numCache>
                <c:formatCode>0.00%</c:formatCode>
                <c:ptCount val="2"/>
                <c:pt idx="0">
                  <c:v>0.5112474437627812</c:v>
                </c:pt>
                <c:pt idx="1">
                  <c:v>0.4887525562372188</c:v>
                </c:pt>
              </c:numCache>
            </c:numRef>
          </c:val>
          <c:extLst>
            <c:ext xmlns:c16="http://schemas.microsoft.com/office/drawing/2014/chart" uri="{C3380CC4-5D6E-409C-BE32-E72D297353CC}">
              <c16:uniqueId val="{00000003-E524-4DC3-998B-DC00BC5D828E}"/>
            </c:ext>
          </c:extLst>
        </c:ser>
        <c:dLbls>
          <c:showLegendKey val="0"/>
          <c:showVal val="0"/>
          <c:showCatName val="0"/>
          <c:showSerName val="0"/>
          <c:showPercent val="0"/>
          <c:showBubbleSize val="0"/>
        </c:dLbls>
        <c:gapWidth val="1"/>
        <c:axId val="1236988543"/>
        <c:axId val="1236989023"/>
      </c:barChart>
      <c:catAx>
        <c:axId val="1236988543"/>
        <c:scaling>
          <c:orientation val="minMax"/>
        </c:scaling>
        <c:delete val="1"/>
        <c:axPos val="l"/>
        <c:numFmt formatCode="General" sourceLinked="1"/>
        <c:majorTickMark val="none"/>
        <c:minorTickMark val="none"/>
        <c:tickLblPos val="nextTo"/>
        <c:crossAx val="1236989023"/>
        <c:crosses val="autoZero"/>
        <c:auto val="1"/>
        <c:lblAlgn val="ctr"/>
        <c:lblOffset val="100"/>
        <c:noMultiLvlLbl val="0"/>
      </c:catAx>
      <c:valAx>
        <c:axId val="1236989023"/>
        <c:scaling>
          <c:orientation val="minMax"/>
        </c:scaling>
        <c:delete val="1"/>
        <c:axPos val="b"/>
        <c:numFmt formatCode="0" sourceLinked="1"/>
        <c:majorTickMark val="none"/>
        <c:minorTickMark val="none"/>
        <c:tickLblPos val="nextTo"/>
        <c:crossAx val="123698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Dashbord.xlsx]Pivot Report!PivotTable4</c:name>
    <c:fmtId val="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
          <c:y val="0.47731369427908971"/>
          <c:w val="1"/>
          <c:h val="0.51290097629009768"/>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Report'!$D$5:$D$36</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Report'!$E$5:$E$36</c:f>
              <c:numCache>
                <c:formatCode>General</c:formatCode>
                <c:ptCount val="31"/>
                <c:pt idx="0">
                  <c:v>16</c:v>
                </c:pt>
                <c:pt idx="1">
                  <c:v>15</c:v>
                </c:pt>
                <c:pt idx="2">
                  <c:v>14</c:v>
                </c:pt>
                <c:pt idx="3">
                  <c:v>12</c:v>
                </c:pt>
                <c:pt idx="4">
                  <c:v>16</c:v>
                </c:pt>
                <c:pt idx="5">
                  <c:v>11</c:v>
                </c:pt>
                <c:pt idx="6">
                  <c:v>7</c:v>
                </c:pt>
                <c:pt idx="7">
                  <c:v>16</c:v>
                </c:pt>
                <c:pt idx="8">
                  <c:v>7</c:v>
                </c:pt>
                <c:pt idx="9">
                  <c:v>16</c:v>
                </c:pt>
                <c:pt idx="10">
                  <c:v>16</c:v>
                </c:pt>
                <c:pt idx="11">
                  <c:v>19</c:v>
                </c:pt>
                <c:pt idx="12">
                  <c:v>10</c:v>
                </c:pt>
                <c:pt idx="13">
                  <c:v>13</c:v>
                </c:pt>
                <c:pt idx="14">
                  <c:v>27</c:v>
                </c:pt>
                <c:pt idx="15">
                  <c:v>19</c:v>
                </c:pt>
                <c:pt idx="16">
                  <c:v>18</c:v>
                </c:pt>
                <c:pt idx="17">
                  <c:v>12</c:v>
                </c:pt>
                <c:pt idx="18">
                  <c:v>20</c:v>
                </c:pt>
                <c:pt idx="19">
                  <c:v>12</c:v>
                </c:pt>
                <c:pt idx="20">
                  <c:v>19</c:v>
                </c:pt>
                <c:pt idx="21">
                  <c:v>18</c:v>
                </c:pt>
                <c:pt idx="22">
                  <c:v>21</c:v>
                </c:pt>
                <c:pt idx="23">
                  <c:v>18</c:v>
                </c:pt>
                <c:pt idx="24">
                  <c:v>16</c:v>
                </c:pt>
                <c:pt idx="25">
                  <c:v>14</c:v>
                </c:pt>
                <c:pt idx="26">
                  <c:v>14</c:v>
                </c:pt>
                <c:pt idx="27">
                  <c:v>16</c:v>
                </c:pt>
                <c:pt idx="28">
                  <c:v>21</c:v>
                </c:pt>
                <c:pt idx="29">
                  <c:v>21</c:v>
                </c:pt>
                <c:pt idx="30">
                  <c:v>15</c:v>
                </c:pt>
              </c:numCache>
            </c:numRef>
          </c:val>
          <c:extLst>
            <c:ext xmlns:c16="http://schemas.microsoft.com/office/drawing/2014/chart" uri="{C3380CC4-5D6E-409C-BE32-E72D297353CC}">
              <c16:uniqueId val="{00000000-9AF4-4F29-A910-369BB4BA5928}"/>
            </c:ext>
          </c:extLst>
        </c:ser>
        <c:dLbls>
          <c:showLegendKey val="0"/>
          <c:showVal val="0"/>
          <c:showCatName val="0"/>
          <c:showSerName val="0"/>
          <c:showPercent val="0"/>
          <c:showBubbleSize val="0"/>
        </c:dLbls>
        <c:axId val="1466067216"/>
        <c:axId val="126377055"/>
      </c:areaChart>
      <c:catAx>
        <c:axId val="1466067216"/>
        <c:scaling>
          <c:orientation val="minMax"/>
        </c:scaling>
        <c:delete val="1"/>
        <c:axPos val="b"/>
        <c:numFmt formatCode="General" sourceLinked="1"/>
        <c:majorTickMark val="out"/>
        <c:minorTickMark val="none"/>
        <c:tickLblPos val="nextTo"/>
        <c:crossAx val="126377055"/>
        <c:crosses val="autoZero"/>
        <c:auto val="1"/>
        <c:lblAlgn val="ctr"/>
        <c:lblOffset val="100"/>
        <c:noMultiLvlLbl val="0"/>
      </c:catAx>
      <c:valAx>
        <c:axId val="126377055"/>
        <c:scaling>
          <c:orientation val="minMax"/>
        </c:scaling>
        <c:delete val="1"/>
        <c:axPos val="l"/>
        <c:numFmt formatCode="General" sourceLinked="1"/>
        <c:majorTickMark val="none"/>
        <c:minorTickMark val="none"/>
        <c:tickLblPos val="nextTo"/>
        <c:crossAx val="1466067216"/>
        <c:crosses val="autoZero"/>
        <c:crossBetween val="midCat"/>
      </c:valAx>
      <c:spPr>
        <a:noFill/>
        <a:ln w="25400">
          <a:noFill/>
        </a:ln>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Dashbord.xlsx]Pivot Report!PivotTable5</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Report'!$H$5:$H$36</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Report'!$I$5:$I$36</c:f>
              <c:numCache>
                <c:formatCode>0.00</c:formatCode>
                <c:ptCount val="31"/>
                <c:pt idx="0">
                  <c:v>34.5</c:v>
                </c:pt>
                <c:pt idx="1">
                  <c:v>35.4</c:v>
                </c:pt>
                <c:pt idx="2">
                  <c:v>34.928571428571431</c:v>
                </c:pt>
                <c:pt idx="3">
                  <c:v>44.25</c:v>
                </c:pt>
                <c:pt idx="4">
                  <c:v>40.1875</c:v>
                </c:pt>
                <c:pt idx="5">
                  <c:v>35</c:v>
                </c:pt>
                <c:pt idx="6">
                  <c:v>43.142857142857146</c:v>
                </c:pt>
                <c:pt idx="7">
                  <c:v>43.6875</c:v>
                </c:pt>
                <c:pt idx="8">
                  <c:v>33.857142857142854</c:v>
                </c:pt>
                <c:pt idx="9">
                  <c:v>40.1875</c:v>
                </c:pt>
                <c:pt idx="10">
                  <c:v>34.9375</c:v>
                </c:pt>
                <c:pt idx="11">
                  <c:v>28.684210526315791</c:v>
                </c:pt>
                <c:pt idx="12">
                  <c:v>25</c:v>
                </c:pt>
                <c:pt idx="13">
                  <c:v>35.46153846153846</c:v>
                </c:pt>
                <c:pt idx="14">
                  <c:v>33.814814814814817</c:v>
                </c:pt>
                <c:pt idx="15">
                  <c:v>33.631578947368418</c:v>
                </c:pt>
                <c:pt idx="16">
                  <c:v>36.611111111111114</c:v>
                </c:pt>
                <c:pt idx="17">
                  <c:v>30.5</c:v>
                </c:pt>
                <c:pt idx="18">
                  <c:v>33.6</c:v>
                </c:pt>
                <c:pt idx="19">
                  <c:v>26.75</c:v>
                </c:pt>
                <c:pt idx="20">
                  <c:v>37.684210526315788</c:v>
                </c:pt>
                <c:pt idx="21">
                  <c:v>36.611111111111114</c:v>
                </c:pt>
                <c:pt idx="22">
                  <c:v>35.428571428571431</c:v>
                </c:pt>
                <c:pt idx="23">
                  <c:v>31.944444444444443</c:v>
                </c:pt>
                <c:pt idx="24">
                  <c:v>31.875</c:v>
                </c:pt>
                <c:pt idx="25">
                  <c:v>28.642857142857142</c:v>
                </c:pt>
                <c:pt idx="26">
                  <c:v>39.214285714285715</c:v>
                </c:pt>
                <c:pt idx="27">
                  <c:v>32.0625</c:v>
                </c:pt>
                <c:pt idx="28">
                  <c:v>28.285714285714285</c:v>
                </c:pt>
                <c:pt idx="29">
                  <c:v>35.476190476190474</c:v>
                </c:pt>
                <c:pt idx="30">
                  <c:v>39.799999999999997</c:v>
                </c:pt>
              </c:numCache>
            </c:numRef>
          </c:val>
          <c:extLst>
            <c:ext xmlns:c16="http://schemas.microsoft.com/office/drawing/2014/chart" uri="{C3380CC4-5D6E-409C-BE32-E72D297353CC}">
              <c16:uniqueId val="{00000000-D938-4577-8F21-B37B3113A2E5}"/>
            </c:ext>
          </c:extLst>
        </c:ser>
        <c:dLbls>
          <c:showLegendKey val="0"/>
          <c:showVal val="0"/>
          <c:showCatName val="0"/>
          <c:showSerName val="0"/>
          <c:showPercent val="0"/>
          <c:showBubbleSize val="0"/>
        </c:dLbls>
        <c:axId val="1237001503"/>
        <c:axId val="1237001983"/>
      </c:areaChart>
      <c:catAx>
        <c:axId val="1237001503"/>
        <c:scaling>
          <c:orientation val="minMax"/>
        </c:scaling>
        <c:delete val="1"/>
        <c:axPos val="b"/>
        <c:numFmt formatCode="General" sourceLinked="1"/>
        <c:majorTickMark val="out"/>
        <c:minorTickMark val="none"/>
        <c:tickLblPos val="nextTo"/>
        <c:crossAx val="1237001983"/>
        <c:crosses val="autoZero"/>
        <c:auto val="1"/>
        <c:lblAlgn val="ctr"/>
        <c:lblOffset val="100"/>
        <c:noMultiLvlLbl val="0"/>
      </c:catAx>
      <c:valAx>
        <c:axId val="1237001983"/>
        <c:scaling>
          <c:orientation val="minMax"/>
        </c:scaling>
        <c:delete val="1"/>
        <c:axPos val="l"/>
        <c:numFmt formatCode="0.00" sourceLinked="1"/>
        <c:majorTickMark val="none"/>
        <c:minorTickMark val="none"/>
        <c:tickLblPos val="nextTo"/>
        <c:crossAx val="123700150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Dashbord.xlsx]Pivot Report!PivotTable5</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Report'!$H$5:$H$36</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Report'!$I$5:$I$36</c:f>
              <c:numCache>
                <c:formatCode>0.00</c:formatCode>
                <c:ptCount val="31"/>
                <c:pt idx="0">
                  <c:v>34.5</c:v>
                </c:pt>
                <c:pt idx="1">
                  <c:v>35.4</c:v>
                </c:pt>
                <c:pt idx="2">
                  <c:v>34.928571428571431</c:v>
                </c:pt>
                <c:pt idx="3">
                  <c:v>44.25</c:v>
                </c:pt>
                <c:pt idx="4">
                  <c:v>40.1875</c:v>
                </c:pt>
                <c:pt idx="5">
                  <c:v>35</c:v>
                </c:pt>
                <c:pt idx="6">
                  <c:v>43.142857142857146</c:v>
                </c:pt>
                <c:pt idx="7">
                  <c:v>43.6875</c:v>
                </c:pt>
                <c:pt idx="8">
                  <c:v>33.857142857142854</c:v>
                </c:pt>
                <c:pt idx="9">
                  <c:v>40.1875</c:v>
                </c:pt>
                <c:pt idx="10">
                  <c:v>34.9375</c:v>
                </c:pt>
                <c:pt idx="11">
                  <c:v>28.684210526315791</c:v>
                </c:pt>
                <c:pt idx="12">
                  <c:v>25</c:v>
                </c:pt>
                <c:pt idx="13">
                  <c:v>35.46153846153846</c:v>
                </c:pt>
                <c:pt idx="14">
                  <c:v>33.814814814814817</c:v>
                </c:pt>
                <c:pt idx="15">
                  <c:v>33.631578947368418</c:v>
                </c:pt>
                <c:pt idx="16">
                  <c:v>36.611111111111114</c:v>
                </c:pt>
                <c:pt idx="17">
                  <c:v>30.5</c:v>
                </c:pt>
                <c:pt idx="18">
                  <c:v>33.6</c:v>
                </c:pt>
                <c:pt idx="19">
                  <c:v>26.75</c:v>
                </c:pt>
                <c:pt idx="20">
                  <c:v>37.684210526315788</c:v>
                </c:pt>
                <c:pt idx="21">
                  <c:v>36.611111111111114</c:v>
                </c:pt>
                <c:pt idx="22">
                  <c:v>35.428571428571431</c:v>
                </c:pt>
                <c:pt idx="23">
                  <c:v>31.944444444444443</c:v>
                </c:pt>
                <c:pt idx="24">
                  <c:v>31.875</c:v>
                </c:pt>
                <c:pt idx="25">
                  <c:v>28.642857142857142</c:v>
                </c:pt>
                <c:pt idx="26">
                  <c:v>39.214285714285715</c:v>
                </c:pt>
                <c:pt idx="27">
                  <c:v>32.0625</c:v>
                </c:pt>
                <c:pt idx="28">
                  <c:v>28.285714285714285</c:v>
                </c:pt>
                <c:pt idx="29">
                  <c:v>35.476190476190474</c:v>
                </c:pt>
                <c:pt idx="30">
                  <c:v>39.799999999999997</c:v>
                </c:pt>
              </c:numCache>
            </c:numRef>
          </c:val>
          <c:extLst>
            <c:ext xmlns:c16="http://schemas.microsoft.com/office/drawing/2014/chart" uri="{C3380CC4-5D6E-409C-BE32-E72D297353CC}">
              <c16:uniqueId val="{00000000-E4F3-41A8-8327-FA453FFF03DB}"/>
            </c:ext>
          </c:extLst>
        </c:ser>
        <c:dLbls>
          <c:showLegendKey val="0"/>
          <c:showVal val="0"/>
          <c:showCatName val="0"/>
          <c:showSerName val="0"/>
          <c:showPercent val="0"/>
          <c:showBubbleSize val="0"/>
        </c:dLbls>
        <c:axId val="1082260367"/>
        <c:axId val="1082258927"/>
      </c:areaChart>
      <c:catAx>
        <c:axId val="1082260367"/>
        <c:scaling>
          <c:orientation val="minMax"/>
        </c:scaling>
        <c:delete val="1"/>
        <c:axPos val="b"/>
        <c:numFmt formatCode="General" sourceLinked="1"/>
        <c:majorTickMark val="out"/>
        <c:minorTickMark val="none"/>
        <c:tickLblPos val="nextTo"/>
        <c:crossAx val="1082258927"/>
        <c:crosses val="autoZero"/>
        <c:auto val="1"/>
        <c:lblAlgn val="ctr"/>
        <c:lblOffset val="100"/>
        <c:noMultiLvlLbl val="0"/>
      </c:catAx>
      <c:valAx>
        <c:axId val="1082258927"/>
        <c:scaling>
          <c:orientation val="minMax"/>
        </c:scaling>
        <c:delete val="1"/>
        <c:axPos val="l"/>
        <c:numFmt formatCode="0.00" sourceLinked="1"/>
        <c:majorTickMark val="none"/>
        <c:minorTickMark val="none"/>
        <c:tickLblPos val="nextTo"/>
        <c:crossAx val="108226036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Dashbord.xlsx]Pivot Report!PivotTable8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3.9355161956391507E-3"/>
          <c:w val="0.98706896551724133"/>
          <c:h val="0.88852838472352247"/>
        </c:manualLayout>
      </c:layout>
      <c:barChart>
        <c:barDir val="col"/>
        <c:grouping val="clustered"/>
        <c:varyColors val="0"/>
        <c:ser>
          <c:idx val="0"/>
          <c:order val="0"/>
          <c:tx>
            <c:strRef>
              <c:f>'Pivot Report'!$B$52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Report'!$A$53:$A$61</c:f>
              <c:strCache>
                <c:ptCount val="8"/>
                <c:pt idx="0">
                  <c:v>0-09</c:v>
                </c:pt>
                <c:pt idx="1">
                  <c:v>10-19</c:v>
                </c:pt>
                <c:pt idx="2">
                  <c:v>20-29</c:v>
                </c:pt>
                <c:pt idx="3">
                  <c:v>30-39</c:v>
                </c:pt>
                <c:pt idx="4">
                  <c:v>40-49</c:v>
                </c:pt>
                <c:pt idx="5">
                  <c:v>50-59</c:v>
                </c:pt>
                <c:pt idx="6">
                  <c:v>60-69</c:v>
                </c:pt>
                <c:pt idx="7">
                  <c:v>70-79</c:v>
                </c:pt>
              </c:strCache>
            </c:strRef>
          </c:cat>
          <c:val>
            <c:numRef>
              <c:f>'Pivot Report'!$B$53:$B$61</c:f>
              <c:numCache>
                <c:formatCode>0</c:formatCode>
                <c:ptCount val="8"/>
                <c:pt idx="0">
                  <c:v>49</c:v>
                </c:pt>
                <c:pt idx="1">
                  <c:v>56</c:v>
                </c:pt>
                <c:pt idx="2">
                  <c:v>71</c:v>
                </c:pt>
                <c:pt idx="3">
                  <c:v>72</c:v>
                </c:pt>
                <c:pt idx="4">
                  <c:v>64</c:v>
                </c:pt>
                <c:pt idx="5">
                  <c:v>60</c:v>
                </c:pt>
                <c:pt idx="6">
                  <c:v>64</c:v>
                </c:pt>
                <c:pt idx="7">
                  <c:v>53</c:v>
                </c:pt>
              </c:numCache>
            </c:numRef>
          </c:val>
          <c:extLst>
            <c:ext xmlns:c16="http://schemas.microsoft.com/office/drawing/2014/chart" uri="{C3380CC4-5D6E-409C-BE32-E72D297353CC}">
              <c16:uniqueId val="{00000000-53BE-4B91-853E-235EA5650C54}"/>
            </c:ext>
          </c:extLst>
        </c:ser>
        <c:dLbls>
          <c:showLegendKey val="0"/>
          <c:showVal val="0"/>
          <c:showCatName val="0"/>
          <c:showSerName val="0"/>
          <c:showPercent val="0"/>
          <c:showBubbleSize val="0"/>
        </c:dLbls>
        <c:gapWidth val="219"/>
        <c:overlap val="-27"/>
        <c:axId val="1238721103"/>
        <c:axId val="750586751"/>
      </c:barChart>
      <c:catAx>
        <c:axId val="123872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50586751"/>
        <c:crosses val="autoZero"/>
        <c:auto val="1"/>
        <c:lblAlgn val="ctr"/>
        <c:lblOffset val="100"/>
        <c:noMultiLvlLbl val="0"/>
      </c:catAx>
      <c:valAx>
        <c:axId val="750586751"/>
        <c:scaling>
          <c:orientation val="minMax"/>
        </c:scaling>
        <c:delete val="1"/>
        <c:axPos val="l"/>
        <c:numFmt formatCode="0" sourceLinked="1"/>
        <c:majorTickMark val="none"/>
        <c:minorTickMark val="none"/>
        <c:tickLblPos val="nextTo"/>
        <c:crossAx val="123872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Dashbord.xlsx]Pivot Report!PivotTable9</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solidFill>
              <a:schemeClr val="accent1">
                <a:shade val="15000"/>
                <a:alpha val="97000"/>
              </a:schemeClr>
            </a:solid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solidFill>
              <a:schemeClr val="accent1">
                <a:shade val="15000"/>
                <a:alpha val="97000"/>
              </a:schemeClr>
            </a:solidFill>
          </a:ln>
          <a:effectLst>
            <a:outerShdw blurRad="317500" algn="ctr" rotWithShape="0">
              <a:prstClr val="black">
                <a:alpha val="25000"/>
              </a:prstClr>
            </a:outerShdw>
          </a:effectLst>
        </c:spPr>
        <c:dLbl>
          <c:idx val="0"/>
          <c:layout>
            <c:manualLayout>
              <c:x val="-0.22358267716535432"/>
              <c:y val="2.1681590333247201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9647435897435898"/>
                  <c:h val="0.20655163066719581"/>
                </c:manualLayout>
              </c15:layout>
            </c:ext>
          </c:extLst>
        </c:dLbl>
      </c:pivotFmt>
      <c:pivotFmt>
        <c:idx val="6"/>
        <c:spPr>
          <a:solidFill>
            <a:schemeClr val="accent1">
              <a:lumMod val="40000"/>
              <a:lumOff val="60000"/>
            </a:schemeClr>
          </a:solidFill>
          <a:ln>
            <a:solidFill>
              <a:schemeClr val="accent1">
                <a:shade val="15000"/>
                <a:alpha val="97000"/>
              </a:schemeClr>
            </a:solidFill>
          </a:ln>
          <a:effectLst>
            <a:outerShdw blurRad="317500" algn="ctr" rotWithShape="0">
              <a:prstClr val="black">
                <a:alpha val="25000"/>
              </a:prstClr>
            </a:outerShdw>
          </a:effectLst>
        </c:spPr>
        <c:dLbl>
          <c:idx val="0"/>
          <c:layout>
            <c:manualLayout>
              <c:x val="0.2058610942862911"/>
              <c:y val="-2.1492885558473417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516025641025641"/>
                  <c:h val="0.22954012601134671"/>
                </c:manualLayout>
              </c15:layout>
            </c:ext>
          </c:extLst>
        </c:dLbl>
      </c:pivotFmt>
    </c:pivotFmts>
    <c:plotArea>
      <c:layout>
        <c:manualLayout>
          <c:layoutTarget val="inner"/>
          <c:xMode val="edge"/>
          <c:yMode val="edge"/>
          <c:x val="7.8097213556393499E-2"/>
          <c:y val="0.22778589563116755"/>
          <c:w val="0.81646463816528503"/>
          <c:h val="0.84636345035125338"/>
        </c:manualLayout>
      </c:layout>
      <c:pieChart>
        <c:varyColors val="1"/>
        <c:ser>
          <c:idx val="0"/>
          <c:order val="0"/>
          <c:tx>
            <c:strRef>
              <c:f>'Pivot Report'!$B$63</c:f>
              <c:strCache>
                <c:ptCount val="1"/>
                <c:pt idx="0">
                  <c:v>Total</c:v>
                </c:pt>
              </c:strCache>
            </c:strRef>
          </c:tx>
          <c:spPr>
            <a:ln>
              <a:solidFill>
                <a:schemeClr val="accent1">
                  <a:shade val="15000"/>
                  <a:alpha val="97000"/>
                </a:schemeClr>
              </a:solidFill>
            </a:ln>
          </c:spPr>
          <c:dPt>
            <c:idx val="0"/>
            <c:bubble3D val="0"/>
            <c:spPr>
              <a:solidFill>
                <a:schemeClr val="accent1"/>
              </a:solidFill>
              <a:ln>
                <a:solidFill>
                  <a:schemeClr val="accent1">
                    <a:shade val="15000"/>
                    <a:alpha val="97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1-D216-4E07-AB5D-90304A82BFBD}"/>
              </c:ext>
            </c:extLst>
          </c:dPt>
          <c:dPt>
            <c:idx val="1"/>
            <c:bubble3D val="0"/>
            <c:spPr>
              <a:solidFill>
                <a:schemeClr val="accent1">
                  <a:lumMod val="40000"/>
                  <a:lumOff val="60000"/>
                </a:schemeClr>
              </a:solidFill>
              <a:ln>
                <a:solidFill>
                  <a:schemeClr val="accent1">
                    <a:shade val="15000"/>
                    <a:alpha val="97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3-D216-4E07-AB5D-90304A82BFBD}"/>
              </c:ext>
            </c:extLst>
          </c:dPt>
          <c:dLbls>
            <c:dLbl>
              <c:idx val="0"/>
              <c:layout>
                <c:manualLayout>
                  <c:x val="-0.22358267716535432"/>
                  <c:y val="2.1681590333247201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9647435897435898"/>
                      <c:h val="0.20655163066719581"/>
                    </c:manualLayout>
                  </c15:layout>
                </c:ext>
                <c:ext xmlns:c16="http://schemas.microsoft.com/office/drawing/2014/chart" uri="{C3380CC4-5D6E-409C-BE32-E72D297353CC}">
                  <c16:uniqueId val="{00000001-D216-4E07-AB5D-90304A82BFBD}"/>
                </c:ext>
              </c:extLst>
            </c:dLbl>
            <c:dLbl>
              <c:idx val="1"/>
              <c:layout>
                <c:manualLayout>
                  <c:x val="0.2058610942862911"/>
                  <c:y val="-2.1492885558473417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516025641025641"/>
                      <c:h val="0.22954012601134671"/>
                    </c:manualLayout>
                  </c15:layout>
                </c:ext>
                <c:ext xmlns:c16="http://schemas.microsoft.com/office/drawing/2014/chart" uri="{C3380CC4-5D6E-409C-BE32-E72D297353CC}">
                  <c16:uniqueId val="{00000003-D216-4E07-AB5D-90304A82BFB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Report'!$A$64:$A$66</c:f>
              <c:strCache>
                <c:ptCount val="2"/>
                <c:pt idx="0">
                  <c:v>Delay</c:v>
                </c:pt>
                <c:pt idx="1">
                  <c:v>Ontime</c:v>
                </c:pt>
              </c:strCache>
            </c:strRef>
          </c:cat>
          <c:val>
            <c:numRef>
              <c:f>'Pivot Report'!$B$64:$B$66</c:f>
              <c:numCache>
                <c:formatCode>0</c:formatCode>
                <c:ptCount val="2"/>
                <c:pt idx="0">
                  <c:v>286</c:v>
                </c:pt>
                <c:pt idx="1">
                  <c:v>203</c:v>
                </c:pt>
              </c:numCache>
            </c:numRef>
          </c:val>
          <c:extLst>
            <c:ext xmlns:c16="http://schemas.microsoft.com/office/drawing/2014/chart" uri="{C3380CC4-5D6E-409C-BE32-E72D297353CC}">
              <c16:uniqueId val="{00000004-7051-4CFD-B8D6-3B65F0F00DF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6961132887310651"/>
          <c:y val="4.8824467014097848E-3"/>
          <c:w val="0.3544287677497871"/>
          <c:h val="0.2799027295353382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Dashbord.xlsx]Pivot Report!PivotTable10</c:name>
    <c:fmtId val="14"/>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3213924732037602"/>
                  <c:h val="0.23987084588730206"/>
                </c:manualLayout>
              </c15:layout>
            </c:ext>
          </c:extLst>
        </c:dLbl>
      </c:pivotFmt>
      <c:pivotFmt>
        <c:idx val="6"/>
        <c:spPr>
          <a:solidFill>
            <a:schemeClr val="accent1">
              <a:lumMod val="40000"/>
              <a:lumOff val="60000"/>
            </a:scheme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4656231332350592"/>
                  <c:h val="0.23987084588730206"/>
                </c:manualLayout>
              </c15:layout>
            </c:ext>
          </c:extLst>
        </c:dLbl>
      </c:pivotFmt>
    </c:pivotFmts>
    <c:plotArea>
      <c:layout>
        <c:manualLayout>
          <c:layoutTarget val="inner"/>
          <c:xMode val="edge"/>
          <c:yMode val="edge"/>
          <c:x val="8.0247327190091464E-2"/>
          <c:y val="0.25131305495907796"/>
          <c:w val="0.76115116469816269"/>
          <c:h val="0.81643029956450974"/>
        </c:manualLayout>
      </c:layout>
      <c:doughnutChart>
        <c:varyColors val="1"/>
        <c:ser>
          <c:idx val="0"/>
          <c:order val="0"/>
          <c:tx>
            <c:strRef>
              <c:f>'Pivot Report'!$B$69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ECD-4894-B91B-854861727314}"/>
              </c:ext>
            </c:extLst>
          </c:dPt>
          <c:dPt>
            <c:idx val="1"/>
            <c:bubble3D val="0"/>
            <c:spPr>
              <a:solidFill>
                <a:schemeClr val="accent1">
                  <a:lumMod val="40000"/>
                  <a:lumOff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ECD-4894-B91B-854861727314}"/>
              </c:ext>
            </c:extLst>
          </c:dPt>
          <c:dLbls>
            <c:dLbl>
              <c:idx val="0"/>
              <c:showLegendKey val="0"/>
              <c:showVal val="0"/>
              <c:showCatName val="0"/>
              <c:showSerName val="0"/>
              <c:showPercent val="1"/>
              <c:showBubbleSize val="0"/>
              <c:extLst>
                <c:ext xmlns:c15="http://schemas.microsoft.com/office/drawing/2012/chart" uri="{CE6537A1-D6FC-4f65-9D91-7224C49458BB}">
                  <c15:layout>
                    <c:manualLayout>
                      <c:w val="0.23213924732037602"/>
                      <c:h val="0.23987084588730206"/>
                    </c:manualLayout>
                  </c15:layout>
                </c:ext>
                <c:ext xmlns:c16="http://schemas.microsoft.com/office/drawing/2014/chart" uri="{C3380CC4-5D6E-409C-BE32-E72D297353CC}">
                  <c16:uniqueId val="{00000001-1ECD-4894-B91B-854861727314}"/>
                </c:ext>
              </c:extLst>
            </c:dLbl>
            <c:dLbl>
              <c:idx val="1"/>
              <c:showLegendKey val="0"/>
              <c:showVal val="0"/>
              <c:showCatName val="0"/>
              <c:showSerName val="0"/>
              <c:showPercent val="1"/>
              <c:showBubbleSize val="0"/>
              <c:extLst>
                <c:ext xmlns:c15="http://schemas.microsoft.com/office/drawing/2012/chart" uri="{CE6537A1-D6FC-4f65-9D91-7224C49458BB}">
                  <c15:layout>
                    <c:manualLayout>
                      <c:w val="0.24656231332350592"/>
                      <c:h val="0.23987084588730206"/>
                    </c:manualLayout>
                  </c15:layout>
                </c:ext>
                <c:ext xmlns:c16="http://schemas.microsoft.com/office/drawing/2014/chart" uri="{C3380CC4-5D6E-409C-BE32-E72D297353CC}">
                  <c16:uniqueId val="{00000003-1ECD-4894-B91B-854861727314}"/>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Report'!$A$70:$A$72</c:f>
              <c:strCache>
                <c:ptCount val="2"/>
                <c:pt idx="0">
                  <c:v>Female</c:v>
                </c:pt>
                <c:pt idx="1">
                  <c:v>Male</c:v>
                </c:pt>
              </c:strCache>
            </c:strRef>
          </c:cat>
          <c:val>
            <c:numRef>
              <c:f>'Pivot Report'!$B$70:$B$72</c:f>
              <c:numCache>
                <c:formatCode>0</c:formatCode>
                <c:ptCount val="2"/>
                <c:pt idx="0">
                  <c:v>240</c:v>
                </c:pt>
                <c:pt idx="1">
                  <c:v>249</c:v>
                </c:pt>
              </c:numCache>
            </c:numRef>
          </c:val>
          <c:extLst>
            <c:ext xmlns:c16="http://schemas.microsoft.com/office/drawing/2014/chart" uri="{C3380CC4-5D6E-409C-BE32-E72D297353CC}">
              <c16:uniqueId val="{00000004-E836-4527-A900-70B0D493E842}"/>
            </c:ext>
          </c:extLst>
        </c:ser>
        <c:dLbls>
          <c:showLegendKey val="0"/>
          <c:showVal val="0"/>
          <c:showCatName val="0"/>
          <c:showSerName val="0"/>
          <c:showPercent val="1"/>
          <c:showBubbleSize val="0"/>
          <c:showLeaderLines val="1"/>
        </c:dLbls>
        <c:firstSliceAng val="0"/>
        <c:holeSize val="38"/>
      </c:doughnutChart>
      <c:spPr>
        <a:noFill/>
        <a:ln>
          <a:noFill/>
        </a:ln>
        <a:effectLst/>
      </c:spPr>
    </c:plotArea>
    <c:legend>
      <c:legendPos val="r"/>
      <c:layout>
        <c:manualLayout>
          <c:xMode val="edge"/>
          <c:yMode val="edge"/>
          <c:x val="0"/>
          <c:y val="7.2951956844319613E-2"/>
          <c:w val="0.30805494960635932"/>
          <c:h val="0.221456984300107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Dashbord.xlsx]Pivot Report!PivotTable11</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09785666217619"/>
          <c:y val="0.11458333333333333"/>
          <c:w val="0.73901843692528968"/>
          <c:h val="0.88541666666666663"/>
        </c:manualLayout>
      </c:layout>
      <c:barChart>
        <c:barDir val="bar"/>
        <c:grouping val="clustered"/>
        <c:varyColors val="0"/>
        <c:ser>
          <c:idx val="0"/>
          <c:order val="0"/>
          <c:tx>
            <c:strRef>
              <c:f>'Pivot Report'!$B$75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Report'!$A$76:$A$84</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'Pivot Report'!$B$76:$B$84</c:f>
              <c:numCache>
                <c:formatCode>0</c:formatCode>
                <c:ptCount val="8"/>
                <c:pt idx="0">
                  <c:v>8</c:v>
                </c:pt>
                <c:pt idx="1">
                  <c:v>8</c:v>
                </c:pt>
                <c:pt idx="2">
                  <c:v>11</c:v>
                </c:pt>
                <c:pt idx="3">
                  <c:v>12</c:v>
                </c:pt>
                <c:pt idx="4">
                  <c:v>18</c:v>
                </c:pt>
                <c:pt idx="5">
                  <c:v>44</c:v>
                </c:pt>
                <c:pt idx="6">
                  <c:v>110</c:v>
                </c:pt>
                <c:pt idx="7">
                  <c:v>278</c:v>
                </c:pt>
              </c:numCache>
            </c:numRef>
          </c:val>
          <c:extLst>
            <c:ext xmlns:c16="http://schemas.microsoft.com/office/drawing/2014/chart" uri="{C3380CC4-5D6E-409C-BE32-E72D297353CC}">
              <c16:uniqueId val="{00000000-7669-4FE6-967B-9BF391E8FDB7}"/>
            </c:ext>
          </c:extLst>
        </c:ser>
        <c:dLbls>
          <c:showLegendKey val="0"/>
          <c:showVal val="0"/>
          <c:showCatName val="0"/>
          <c:showSerName val="0"/>
          <c:showPercent val="0"/>
          <c:showBubbleSize val="0"/>
        </c:dLbls>
        <c:gapWidth val="499"/>
        <c:axId val="1070552335"/>
        <c:axId val="1070551855"/>
      </c:barChart>
      <c:catAx>
        <c:axId val="1070552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070551855"/>
        <c:crosses val="autoZero"/>
        <c:auto val="1"/>
        <c:lblAlgn val="ctr"/>
        <c:lblOffset val="100"/>
        <c:noMultiLvlLbl val="0"/>
      </c:catAx>
      <c:valAx>
        <c:axId val="1070551855"/>
        <c:scaling>
          <c:orientation val="minMax"/>
        </c:scaling>
        <c:delete val="1"/>
        <c:axPos val="b"/>
        <c:numFmt formatCode="0" sourceLinked="1"/>
        <c:majorTickMark val="none"/>
        <c:minorTickMark val="none"/>
        <c:tickLblPos val="nextTo"/>
        <c:crossAx val="1070552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Dashbord.xlsx]Pivot Report!PivotTable13</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Report'!$E$52</c:f>
              <c:strCache>
                <c:ptCount val="1"/>
                <c:pt idx="0">
                  <c:v>Total</c:v>
                </c:pt>
              </c:strCache>
            </c:strRef>
          </c:tx>
          <c:spPr>
            <a:solidFill>
              <a:schemeClr val="accent1"/>
            </a:solidFill>
            <a:ln w="25400">
              <a:noFill/>
            </a:ln>
            <a:effectLst/>
          </c:spPr>
          <c:cat>
            <c:strRef>
              <c:f>'Pivot Report'!$D$53:$D$84</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Report'!$E$53:$E$84</c:f>
              <c:numCache>
                <c:formatCode>General</c:formatCode>
                <c:ptCount val="31"/>
                <c:pt idx="0">
                  <c:v>16</c:v>
                </c:pt>
                <c:pt idx="1">
                  <c:v>15</c:v>
                </c:pt>
                <c:pt idx="2">
                  <c:v>14</c:v>
                </c:pt>
                <c:pt idx="3">
                  <c:v>12</c:v>
                </c:pt>
                <c:pt idx="4">
                  <c:v>16</c:v>
                </c:pt>
                <c:pt idx="5">
                  <c:v>11</c:v>
                </c:pt>
                <c:pt idx="6">
                  <c:v>7</c:v>
                </c:pt>
                <c:pt idx="7">
                  <c:v>16</c:v>
                </c:pt>
                <c:pt idx="8">
                  <c:v>7</c:v>
                </c:pt>
                <c:pt idx="9">
                  <c:v>16</c:v>
                </c:pt>
                <c:pt idx="10">
                  <c:v>16</c:v>
                </c:pt>
                <c:pt idx="11">
                  <c:v>19</c:v>
                </c:pt>
                <c:pt idx="12">
                  <c:v>10</c:v>
                </c:pt>
                <c:pt idx="13">
                  <c:v>13</c:v>
                </c:pt>
                <c:pt idx="14">
                  <c:v>27</c:v>
                </c:pt>
                <c:pt idx="15">
                  <c:v>19</c:v>
                </c:pt>
                <c:pt idx="16">
                  <c:v>18</c:v>
                </c:pt>
                <c:pt idx="17">
                  <c:v>12</c:v>
                </c:pt>
                <c:pt idx="18">
                  <c:v>20</c:v>
                </c:pt>
                <c:pt idx="19">
                  <c:v>12</c:v>
                </c:pt>
                <c:pt idx="20">
                  <c:v>19</c:v>
                </c:pt>
                <c:pt idx="21">
                  <c:v>18</c:v>
                </c:pt>
                <c:pt idx="22">
                  <c:v>21</c:v>
                </c:pt>
                <c:pt idx="23">
                  <c:v>18</c:v>
                </c:pt>
                <c:pt idx="24">
                  <c:v>16</c:v>
                </c:pt>
                <c:pt idx="25">
                  <c:v>14</c:v>
                </c:pt>
                <c:pt idx="26">
                  <c:v>14</c:v>
                </c:pt>
                <c:pt idx="27">
                  <c:v>16</c:v>
                </c:pt>
                <c:pt idx="28">
                  <c:v>21</c:v>
                </c:pt>
                <c:pt idx="29">
                  <c:v>21</c:v>
                </c:pt>
                <c:pt idx="30">
                  <c:v>15</c:v>
                </c:pt>
              </c:numCache>
            </c:numRef>
          </c:val>
          <c:extLst>
            <c:ext xmlns:c16="http://schemas.microsoft.com/office/drawing/2014/chart" uri="{C3380CC4-5D6E-409C-BE32-E72D297353CC}">
              <c16:uniqueId val="{00000001-75C1-4F2A-8C4A-F1AC11E97C7F}"/>
            </c:ext>
          </c:extLst>
        </c:ser>
        <c:dLbls>
          <c:showLegendKey val="0"/>
          <c:showVal val="0"/>
          <c:showCatName val="0"/>
          <c:showSerName val="0"/>
          <c:showPercent val="0"/>
          <c:showBubbleSize val="0"/>
        </c:dLbls>
        <c:axId val="1565121840"/>
        <c:axId val="1565122800"/>
      </c:areaChart>
      <c:catAx>
        <c:axId val="1565121840"/>
        <c:scaling>
          <c:orientation val="minMax"/>
        </c:scaling>
        <c:delete val="1"/>
        <c:axPos val="b"/>
        <c:numFmt formatCode="General" sourceLinked="1"/>
        <c:majorTickMark val="out"/>
        <c:minorTickMark val="none"/>
        <c:tickLblPos val="nextTo"/>
        <c:crossAx val="1565122800"/>
        <c:crosses val="autoZero"/>
        <c:auto val="1"/>
        <c:lblAlgn val="ctr"/>
        <c:lblOffset val="100"/>
        <c:noMultiLvlLbl val="0"/>
      </c:catAx>
      <c:valAx>
        <c:axId val="1565122800"/>
        <c:scaling>
          <c:orientation val="minMax"/>
        </c:scaling>
        <c:delete val="1"/>
        <c:axPos val="l"/>
        <c:numFmt formatCode="General" sourceLinked="1"/>
        <c:majorTickMark val="none"/>
        <c:minorTickMark val="none"/>
        <c:tickLblPos val="nextTo"/>
        <c:crossAx val="15651218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Dashbord.xlsx]Pivot Report!PivotTable4</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757924490207955E-2"/>
          <c:y val="1.537981296027317E-2"/>
          <c:w val="0.95405179615705926"/>
          <c:h val="0.79058970839654219"/>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Report'!$E$5:$E$36</c:f>
              <c:numCache>
                <c:formatCode>General</c:formatCode>
                <c:ptCount val="31"/>
                <c:pt idx="0">
                  <c:v>16</c:v>
                </c:pt>
                <c:pt idx="1">
                  <c:v>15</c:v>
                </c:pt>
                <c:pt idx="2">
                  <c:v>14</c:v>
                </c:pt>
                <c:pt idx="3">
                  <c:v>12</c:v>
                </c:pt>
                <c:pt idx="4">
                  <c:v>16</c:v>
                </c:pt>
                <c:pt idx="5">
                  <c:v>11</c:v>
                </c:pt>
                <c:pt idx="6">
                  <c:v>7</c:v>
                </c:pt>
                <c:pt idx="7">
                  <c:v>16</c:v>
                </c:pt>
                <c:pt idx="8">
                  <c:v>7</c:v>
                </c:pt>
                <c:pt idx="9">
                  <c:v>16</c:v>
                </c:pt>
                <c:pt idx="10">
                  <c:v>16</c:v>
                </c:pt>
                <c:pt idx="11">
                  <c:v>19</c:v>
                </c:pt>
                <c:pt idx="12">
                  <c:v>10</c:v>
                </c:pt>
                <c:pt idx="13">
                  <c:v>13</c:v>
                </c:pt>
                <c:pt idx="14">
                  <c:v>27</c:v>
                </c:pt>
                <c:pt idx="15">
                  <c:v>19</c:v>
                </c:pt>
                <c:pt idx="16">
                  <c:v>18</c:v>
                </c:pt>
                <c:pt idx="17">
                  <c:v>12</c:v>
                </c:pt>
                <c:pt idx="18">
                  <c:v>20</c:v>
                </c:pt>
                <c:pt idx="19">
                  <c:v>12</c:v>
                </c:pt>
                <c:pt idx="20">
                  <c:v>19</c:v>
                </c:pt>
                <c:pt idx="21">
                  <c:v>18</c:v>
                </c:pt>
                <c:pt idx="22">
                  <c:v>21</c:v>
                </c:pt>
                <c:pt idx="23">
                  <c:v>18</c:v>
                </c:pt>
                <c:pt idx="24">
                  <c:v>16</c:v>
                </c:pt>
                <c:pt idx="25">
                  <c:v>14</c:v>
                </c:pt>
                <c:pt idx="26">
                  <c:v>14</c:v>
                </c:pt>
                <c:pt idx="27">
                  <c:v>16</c:v>
                </c:pt>
                <c:pt idx="28">
                  <c:v>21</c:v>
                </c:pt>
                <c:pt idx="29">
                  <c:v>21</c:v>
                </c:pt>
                <c:pt idx="30">
                  <c:v>15</c:v>
                </c:pt>
              </c:numCache>
            </c:numRef>
          </c:val>
          <c:extLst>
            <c:ext xmlns:c16="http://schemas.microsoft.com/office/drawing/2014/chart" uri="{C3380CC4-5D6E-409C-BE32-E72D297353CC}">
              <c16:uniqueId val="{00000000-CDF6-4CDF-8463-8A341FA4039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66067216"/>
        <c:axId val="126377055"/>
      </c:areaChart>
      <c:catAx>
        <c:axId val="146606721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6377055"/>
        <c:crosses val="autoZero"/>
        <c:auto val="1"/>
        <c:lblAlgn val="ctr"/>
        <c:lblOffset val="100"/>
        <c:noMultiLvlLbl val="0"/>
      </c:catAx>
      <c:valAx>
        <c:axId val="126377055"/>
        <c:scaling>
          <c:orientation val="minMax"/>
        </c:scaling>
        <c:delete val="1"/>
        <c:axPos val="l"/>
        <c:numFmt formatCode="General" sourceLinked="1"/>
        <c:majorTickMark val="out"/>
        <c:minorTickMark val="none"/>
        <c:tickLblPos val="nextTo"/>
        <c:crossAx val="14660672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Dashbord.xlsx]Pivot Report!PivotTable5</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Report'!$H$5:$H$36</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Report'!$I$5:$I$36</c:f>
              <c:numCache>
                <c:formatCode>0.00</c:formatCode>
                <c:ptCount val="31"/>
                <c:pt idx="0">
                  <c:v>34.5</c:v>
                </c:pt>
                <c:pt idx="1">
                  <c:v>35.4</c:v>
                </c:pt>
                <c:pt idx="2">
                  <c:v>34.928571428571431</c:v>
                </c:pt>
                <c:pt idx="3">
                  <c:v>44.25</c:v>
                </c:pt>
                <c:pt idx="4">
                  <c:v>40.1875</c:v>
                </c:pt>
                <c:pt idx="5">
                  <c:v>35</c:v>
                </c:pt>
                <c:pt idx="6">
                  <c:v>43.142857142857146</c:v>
                </c:pt>
                <c:pt idx="7">
                  <c:v>43.6875</c:v>
                </c:pt>
                <c:pt idx="8">
                  <c:v>33.857142857142854</c:v>
                </c:pt>
                <c:pt idx="9">
                  <c:v>40.1875</c:v>
                </c:pt>
                <c:pt idx="10">
                  <c:v>34.9375</c:v>
                </c:pt>
                <c:pt idx="11">
                  <c:v>28.684210526315791</c:v>
                </c:pt>
                <c:pt idx="12">
                  <c:v>25</c:v>
                </c:pt>
                <c:pt idx="13">
                  <c:v>35.46153846153846</c:v>
                </c:pt>
                <c:pt idx="14">
                  <c:v>33.814814814814817</c:v>
                </c:pt>
                <c:pt idx="15">
                  <c:v>33.631578947368418</c:v>
                </c:pt>
                <c:pt idx="16">
                  <c:v>36.611111111111114</c:v>
                </c:pt>
                <c:pt idx="17">
                  <c:v>30.5</c:v>
                </c:pt>
                <c:pt idx="18">
                  <c:v>33.6</c:v>
                </c:pt>
                <c:pt idx="19">
                  <c:v>26.75</c:v>
                </c:pt>
                <c:pt idx="20">
                  <c:v>37.684210526315788</c:v>
                </c:pt>
                <c:pt idx="21">
                  <c:v>36.611111111111114</c:v>
                </c:pt>
                <c:pt idx="22">
                  <c:v>35.428571428571431</c:v>
                </c:pt>
                <c:pt idx="23">
                  <c:v>31.944444444444443</c:v>
                </c:pt>
                <c:pt idx="24">
                  <c:v>31.875</c:v>
                </c:pt>
                <c:pt idx="25">
                  <c:v>28.642857142857142</c:v>
                </c:pt>
                <c:pt idx="26">
                  <c:v>39.214285714285715</c:v>
                </c:pt>
                <c:pt idx="27">
                  <c:v>32.0625</c:v>
                </c:pt>
                <c:pt idx="28">
                  <c:v>28.285714285714285</c:v>
                </c:pt>
                <c:pt idx="29">
                  <c:v>35.476190476190474</c:v>
                </c:pt>
                <c:pt idx="30">
                  <c:v>39.799999999999997</c:v>
                </c:pt>
              </c:numCache>
            </c:numRef>
          </c:val>
          <c:extLst>
            <c:ext xmlns:c16="http://schemas.microsoft.com/office/drawing/2014/chart" uri="{C3380CC4-5D6E-409C-BE32-E72D297353CC}">
              <c16:uniqueId val="{00000000-B3A1-44D6-8AA6-2F37470363F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82260367"/>
        <c:axId val="1082258927"/>
      </c:areaChart>
      <c:catAx>
        <c:axId val="108226036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82258927"/>
        <c:crosses val="autoZero"/>
        <c:auto val="1"/>
        <c:lblAlgn val="ctr"/>
        <c:lblOffset val="100"/>
        <c:noMultiLvlLbl val="0"/>
      </c:catAx>
      <c:valAx>
        <c:axId val="1082258927"/>
        <c:scaling>
          <c:orientation val="minMax"/>
        </c:scaling>
        <c:delete val="1"/>
        <c:axPos val="l"/>
        <c:numFmt formatCode="0.00" sourceLinked="1"/>
        <c:majorTickMark val="out"/>
        <c:minorTickMark val="none"/>
        <c:tickLblPos val="nextTo"/>
        <c:crossAx val="10822603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Dashbord.xlsx]Pivot Report!PivotTable5</c:name>
    <c:fmtId val="4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Report'!$H$5:$H$36</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Report'!$I$5:$I$36</c:f>
              <c:numCache>
                <c:formatCode>0.00</c:formatCode>
                <c:ptCount val="31"/>
                <c:pt idx="0">
                  <c:v>34.5</c:v>
                </c:pt>
                <c:pt idx="1">
                  <c:v>35.4</c:v>
                </c:pt>
                <c:pt idx="2">
                  <c:v>34.928571428571431</c:v>
                </c:pt>
                <c:pt idx="3">
                  <c:v>44.25</c:v>
                </c:pt>
                <c:pt idx="4">
                  <c:v>40.1875</c:v>
                </c:pt>
                <c:pt idx="5">
                  <c:v>35</c:v>
                </c:pt>
                <c:pt idx="6">
                  <c:v>43.142857142857146</c:v>
                </c:pt>
                <c:pt idx="7">
                  <c:v>43.6875</c:v>
                </c:pt>
                <c:pt idx="8">
                  <c:v>33.857142857142854</c:v>
                </c:pt>
                <c:pt idx="9">
                  <c:v>40.1875</c:v>
                </c:pt>
                <c:pt idx="10">
                  <c:v>34.9375</c:v>
                </c:pt>
                <c:pt idx="11">
                  <c:v>28.684210526315791</c:v>
                </c:pt>
                <c:pt idx="12">
                  <c:v>25</c:v>
                </c:pt>
                <c:pt idx="13">
                  <c:v>35.46153846153846</c:v>
                </c:pt>
                <c:pt idx="14">
                  <c:v>33.814814814814817</c:v>
                </c:pt>
                <c:pt idx="15">
                  <c:v>33.631578947368418</c:v>
                </c:pt>
                <c:pt idx="16">
                  <c:v>36.611111111111114</c:v>
                </c:pt>
                <c:pt idx="17">
                  <c:v>30.5</c:v>
                </c:pt>
                <c:pt idx="18">
                  <c:v>33.6</c:v>
                </c:pt>
                <c:pt idx="19">
                  <c:v>26.75</c:v>
                </c:pt>
                <c:pt idx="20">
                  <c:v>37.684210526315788</c:v>
                </c:pt>
                <c:pt idx="21">
                  <c:v>36.611111111111114</c:v>
                </c:pt>
                <c:pt idx="22">
                  <c:v>35.428571428571431</c:v>
                </c:pt>
                <c:pt idx="23">
                  <c:v>31.944444444444443</c:v>
                </c:pt>
                <c:pt idx="24">
                  <c:v>31.875</c:v>
                </c:pt>
                <c:pt idx="25">
                  <c:v>28.642857142857142</c:v>
                </c:pt>
                <c:pt idx="26">
                  <c:v>39.214285714285715</c:v>
                </c:pt>
                <c:pt idx="27">
                  <c:v>32.0625</c:v>
                </c:pt>
                <c:pt idx="28">
                  <c:v>28.285714285714285</c:v>
                </c:pt>
                <c:pt idx="29">
                  <c:v>35.476190476190474</c:v>
                </c:pt>
                <c:pt idx="30">
                  <c:v>39.799999999999997</c:v>
                </c:pt>
              </c:numCache>
            </c:numRef>
          </c:val>
          <c:extLst>
            <c:ext xmlns:c16="http://schemas.microsoft.com/office/drawing/2014/chart" uri="{C3380CC4-5D6E-409C-BE32-E72D297353CC}">
              <c16:uniqueId val="{00000000-2675-479B-9FBB-44601E7A0B8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37001503"/>
        <c:axId val="1237001983"/>
      </c:areaChart>
      <c:catAx>
        <c:axId val="123700150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37001983"/>
        <c:crosses val="autoZero"/>
        <c:auto val="1"/>
        <c:lblAlgn val="ctr"/>
        <c:lblOffset val="100"/>
        <c:noMultiLvlLbl val="0"/>
      </c:catAx>
      <c:valAx>
        <c:axId val="1237001983"/>
        <c:scaling>
          <c:orientation val="minMax"/>
        </c:scaling>
        <c:delete val="1"/>
        <c:axPos val="l"/>
        <c:numFmt formatCode="0.00" sourceLinked="1"/>
        <c:majorTickMark val="out"/>
        <c:minorTickMark val="none"/>
        <c:tickLblPos val="nextTo"/>
        <c:crossAx val="12370015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Satisfaction score daily tre   '!A1"/><Relationship Id="rId18" Type="http://schemas.openxmlformats.org/officeDocument/2006/relationships/chart" Target="../charts/chart5.xml"/><Relationship Id="rId3" Type="http://schemas.openxmlformats.org/officeDocument/2006/relationships/image" Target="../media/image3.png"/><Relationship Id="rId21" Type="http://schemas.openxmlformats.org/officeDocument/2006/relationships/chart" Target="../charts/chart8.xml"/><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image" Target="../media/image11.emf"/><Relationship Id="rId2" Type="http://schemas.openxmlformats.org/officeDocument/2006/relationships/image" Target="../media/image2.svg"/><Relationship Id="rId16" Type="http://schemas.openxmlformats.org/officeDocument/2006/relationships/chart" Target="../charts/chart4.xml"/><Relationship Id="rId20"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Dally ER No. of Patient '!A1"/><Relationship Id="rId5" Type="http://schemas.openxmlformats.org/officeDocument/2006/relationships/image" Target="../media/image5.png"/><Relationship Id="rId15" Type="http://schemas.openxmlformats.org/officeDocument/2006/relationships/hyperlink" Target="#'Average wait time daily trend'!A1"/><Relationship Id="rId23" Type="http://schemas.openxmlformats.org/officeDocument/2006/relationships/chart" Target="../charts/chart9.xml"/><Relationship Id="rId10" Type="http://schemas.openxmlformats.org/officeDocument/2006/relationships/image" Target="../media/image10.svg"/><Relationship Id="rId19"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3.xml"/><Relationship Id="rId22" Type="http://schemas.openxmlformats.org/officeDocument/2006/relationships/hyperlink" Target="#'Daily ER No. of Patient '!A1"/></Relationships>
</file>

<file path=xl/drawings/_rels/drawing3.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hyperlink" Target="#'Dashbord '!A1"/><Relationship Id="rId1" Type="http://schemas.openxmlformats.org/officeDocument/2006/relationships/chart" Target="../charts/chart10.xml"/><Relationship Id="rId4" Type="http://schemas.openxmlformats.org/officeDocument/2006/relationships/image" Target="../media/image14.svg"/></Relationships>
</file>

<file path=xl/drawings/_rels/drawing4.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hyperlink" Target="#'Dashbord '!A1"/><Relationship Id="rId1" Type="http://schemas.openxmlformats.org/officeDocument/2006/relationships/chart" Target="../charts/chart11.xml"/><Relationship Id="rId4" Type="http://schemas.openxmlformats.org/officeDocument/2006/relationships/image" Target="../media/image14.svg"/></Relationships>
</file>

<file path=xl/drawings/_rels/drawing5.xml.rels><?xml version="1.0" encoding="UTF-8" standalone="yes"?>
<Relationships xmlns="http://schemas.openxmlformats.org/package/2006/relationships"><Relationship Id="rId3" Type="http://schemas.openxmlformats.org/officeDocument/2006/relationships/image" Target="../media/image14.svg"/><Relationship Id="rId2" Type="http://schemas.openxmlformats.org/officeDocument/2006/relationships/image" Target="../media/image13.png"/><Relationship Id="rId1" Type="http://schemas.openxmlformats.org/officeDocument/2006/relationships/hyperlink" Target="#'Dashbord '!A1"/><Relationship Id="rId4"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3</xdr:col>
      <xdr:colOff>19353</xdr:colOff>
      <xdr:row>46</xdr:row>
      <xdr:rowOff>8466</xdr:rowOff>
    </xdr:from>
    <xdr:to>
      <xdr:col>3</xdr:col>
      <xdr:colOff>1532467</xdr:colOff>
      <xdr:row>48</xdr:row>
      <xdr:rowOff>0</xdr:rowOff>
    </xdr:to>
    <xdr:graphicFrame macro="">
      <xdr:nvGraphicFramePr>
        <xdr:cNvPr id="6" name="Chart 5">
          <a:extLst>
            <a:ext uri="{FF2B5EF4-FFF2-40B4-BE49-F238E27FC236}">
              <a16:creationId xmlns:a16="http://schemas.microsoft.com/office/drawing/2014/main" id="{1E99AF00-D2A6-830D-ABF6-313A9C60D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77165</xdr:colOff>
      <xdr:row>0</xdr:row>
      <xdr:rowOff>63017</xdr:rowOff>
    </xdr:from>
    <xdr:to>
      <xdr:col>19</xdr:col>
      <xdr:colOff>503608</xdr:colOff>
      <xdr:row>33</xdr:row>
      <xdr:rowOff>144683</xdr:rowOff>
    </xdr:to>
    <xdr:sp macro="" textlink="">
      <xdr:nvSpPr>
        <xdr:cNvPr id="2" name="Rectangle: Rounded Corners 1">
          <a:extLst>
            <a:ext uri="{FF2B5EF4-FFF2-40B4-BE49-F238E27FC236}">
              <a16:creationId xmlns:a16="http://schemas.microsoft.com/office/drawing/2014/main" id="{7B551A38-69A9-3DE1-EB4C-3D1F8FC173A8}"/>
            </a:ext>
          </a:extLst>
        </xdr:cNvPr>
        <xdr:cNvSpPr/>
      </xdr:nvSpPr>
      <xdr:spPr>
        <a:xfrm>
          <a:off x="77165" y="63017"/>
          <a:ext cx="11972190" cy="6129438"/>
        </a:xfrm>
        <a:prstGeom prst="roundRect">
          <a:avLst>
            <a:gd name="adj" fmla="val 2279"/>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169334</xdr:colOff>
      <xdr:row>6</xdr:row>
      <xdr:rowOff>67733</xdr:rowOff>
    </xdr:from>
    <xdr:to>
      <xdr:col>2</xdr:col>
      <xdr:colOff>296333</xdr:colOff>
      <xdr:row>33</xdr:row>
      <xdr:rowOff>25400</xdr:rowOff>
    </xdr:to>
    <xdr:sp macro="" textlink="">
      <xdr:nvSpPr>
        <xdr:cNvPr id="3" name="Rectangle: Rounded Corners 2">
          <a:extLst>
            <a:ext uri="{FF2B5EF4-FFF2-40B4-BE49-F238E27FC236}">
              <a16:creationId xmlns:a16="http://schemas.microsoft.com/office/drawing/2014/main" id="{F506D474-A71F-9EBC-C7C5-6E0853BBE301}"/>
            </a:ext>
          </a:extLst>
        </xdr:cNvPr>
        <xdr:cNvSpPr/>
      </xdr:nvSpPr>
      <xdr:spPr>
        <a:xfrm>
          <a:off x="169334" y="1185333"/>
          <a:ext cx="1346199" cy="4986867"/>
        </a:xfrm>
        <a:prstGeom prst="roundRect">
          <a:avLst>
            <a:gd name="adj" fmla="val 11066"/>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152401</xdr:colOff>
      <xdr:row>1</xdr:row>
      <xdr:rowOff>8468</xdr:rowOff>
    </xdr:from>
    <xdr:to>
      <xdr:col>17</xdr:col>
      <xdr:colOff>92913</xdr:colOff>
      <xdr:row>5</xdr:row>
      <xdr:rowOff>134602</xdr:rowOff>
    </xdr:to>
    <xdr:sp macro="" textlink="">
      <xdr:nvSpPr>
        <xdr:cNvPr id="4" name="Rectangle: Rounded Corners 3">
          <a:extLst>
            <a:ext uri="{FF2B5EF4-FFF2-40B4-BE49-F238E27FC236}">
              <a16:creationId xmlns:a16="http://schemas.microsoft.com/office/drawing/2014/main" id="{3501795E-31AC-B5C7-E092-E50FB13925A9}"/>
            </a:ext>
          </a:extLst>
        </xdr:cNvPr>
        <xdr:cNvSpPr/>
      </xdr:nvSpPr>
      <xdr:spPr>
        <a:xfrm>
          <a:off x="152401" y="193525"/>
          <a:ext cx="10303712" cy="866363"/>
        </a:xfrm>
        <a:prstGeom prst="roundRect">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406401</xdr:colOff>
      <xdr:row>6</xdr:row>
      <xdr:rowOff>118533</xdr:rowOff>
    </xdr:from>
    <xdr:to>
      <xdr:col>5</xdr:col>
      <xdr:colOff>564801</xdr:colOff>
      <xdr:row>11</xdr:row>
      <xdr:rowOff>15200</xdr:rowOff>
    </xdr:to>
    <xdr:sp macro="" textlink="">
      <xdr:nvSpPr>
        <xdr:cNvPr id="6" name="Rectangle: Rounded Corners 5">
          <a:extLst>
            <a:ext uri="{FF2B5EF4-FFF2-40B4-BE49-F238E27FC236}">
              <a16:creationId xmlns:a16="http://schemas.microsoft.com/office/drawing/2014/main" id="{ED3E7A27-9FC3-B51F-847C-26A60BFFA17E}"/>
            </a:ext>
          </a:extLst>
        </xdr:cNvPr>
        <xdr:cNvSpPr/>
      </xdr:nvSpPr>
      <xdr:spPr>
        <a:xfrm>
          <a:off x="1625601" y="1236133"/>
          <a:ext cx="1987200" cy="828000"/>
        </a:xfrm>
        <a:prstGeom prst="roundRect">
          <a:avLst>
            <a:gd name="adj" fmla="val 4396"/>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clientData/>
  </xdr:twoCellAnchor>
  <xdr:twoCellAnchor>
    <xdr:from>
      <xdr:col>6</xdr:col>
      <xdr:colOff>25400</xdr:colOff>
      <xdr:row>6</xdr:row>
      <xdr:rowOff>126999</xdr:rowOff>
    </xdr:from>
    <xdr:to>
      <xdr:col>9</xdr:col>
      <xdr:colOff>183800</xdr:colOff>
      <xdr:row>11</xdr:row>
      <xdr:rowOff>23666</xdr:rowOff>
    </xdr:to>
    <xdr:sp macro="" textlink="">
      <xdr:nvSpPr>
        <xdr:cNvPr id="7" name="Rectangle: Rounded Corners 6">
          <a:extLst>
            <a:ext uri="{FF2B5EF4-FFF2-40B4-BE49-F238E27FC236}">
              <a16:creationId xmlns:a16="http://schemas.microsoft.com/office/drawing/2014/main" id="{91C4DB7B-2EF4-566E-400E-72EF9C6FCD08}"/>
            </a:ext>
          </a:extLst>
        </xdr:cNvPr>
        <xdr:cNvSpPr/>
      </xdr:nvSpPr>
      <xdr:spPr>
        <a:xfrm>
          <a:off x="3683000" y="1244599"/>
          <a:ext cx="1987200" cy="828000"/>
        </a:xfrm>
        <a:prstGeom prst="roundRect">
          <a:avLst>
            <a:gd name="adj" fmla="val 6442"/>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245534</xdr:colOff>
      <xdr:row>6</xdr:row>
      <xdr:rowOff>118533</xdr:rowOff>
    </xdr:from>
    <xdr:to>
      <xdr:col>12</xdr:col>
      <xdr:colOff>403934</xdr:colOff>
      <xdr:row>11</xdr:row>
      <xdr:rowOff>15200</xdr:rowOff>
    </xdr:to>
    <xdr:sp macro="" textlink="">
      <xdr:nvSpPr>
        <xdr:cNvPr id="8" name="Rectangle: Rounded Corners 7">
          <a:extLst>
            <a:ext uri="{FF2B5EF4-FFF2-40B4-BE49-F238E27FC236}">
              <a16:creationId xmlns:a16="http://schemas.microsoft.com/office/drawing/2014/main" id="{55FB6153-8540-BEC4-79CA-A392595DE652}"/>
            </a:ext>
          </a:extLst>
        </xdr:cNvPr>
        <xdr:cNvSpPr/>
      </xdr:nvSpPr>
      <xdr:spPr>
        <a:xfrm>
          <a:off x="5731934" y="1236133"/>
          <a:ext cx="1987200" cy="828000"/>
        </a:xfrm>
        <a:prstGeom prst="roundRect">
          <a:avLst>
            <a:gd name="adj" fmla="val 8487"/>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448733</xdr:colOff>
      <xdr:row>6</xdr:row>
      <xdr:rowOff>76201</xdr:rowOff>
    </xdr:from>
    <xdr:to>
      <xdr:col>16</xdr:col>
      <xdr:colOff>48333</xdr:colOff>
      <xdr:row>17</xdr:row>
      <xdr:rowOff>143933</xdr:rowOff>
    </xdr:to>
    <xdr:sp macro="" textlink="">
      <xdr:nvSpPr>
        <xdr:cNvPr id="9" name="Rectangle: Rounded Corners 8">
          <a:extLst>
            <a:ext uri="{FF2B5EF4-FFF2-40B4-BE49-F238E27FC236}">
              <a16:creationId xmlns:a16="http://schemas.microsoft.com/office/drawing/2014/main" id="{B15CC61B-7578-8432-8B37-F5662CBACC0D}"/>
            </a:ext>
          </a:extLst>
        </xdr:cNvPr>
        <xdr:cNvSpPr/>
      </xdr:nvSpPr>
      <xdr:spPr>
        <a:xfrm>
          <a:off x="7763933" y="1193801"/>
          <a:ext cx="2038000" cy="2116665"/>
        </a:xfrm>
        <a:prstGeom prst="roundRect">
          <a:avLst>
            <a:gd name="adj" fmla="val 6722"/>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474132</xdr:colOff>
      <xdr:row>18</xdr:row>
      <xdr:rowOff>25401</xdr:rowOff>
    </xdr:from>
    <xdr:to>
      <xdr:col>19</xdr:col>
      <xdr:colOff>287865</xdr:colOff>
      <xdr:row>32</xdr:row>
      <xdr:rowOff>127001</xdr:rowOff>
    </xdr:to>
    <xdr:sp macro="" textlink="">
      <xdr:nvSpPr>
        <xdr:cNvPr id="11" name="Rectangle: Rounded Corners 10">
          <a:extLst>
            <a:ext uri="{FF2B5EF4-FFF2-40B4-BE49-F238E27FC236}">
              <a16:creationId xmlns:a16="http://schemas.microsoft.com/office/drawing/2014/main" id="{A1B11FC4-AC88-2380-B975-BF2A8A92F358}"/>
            </a:ext>
          </a:extLst>
        </xdr:cNvPr>
        <xdr:cNvSpPr/>
      </xdr:nvSpPr>
      <xdr:spPr>
        <a:xfrm>
          <a:off x="7789332" y="3378201"/>
          <a:ext cx="4080933" cy="2709333"/>
        </a:xfrm>
        <a:prstGeom prst="roundRect">
          <a:avLst>
            <a:gd name="adj" fmla="val 6722"/>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380999</xdr:colOff>
      <xdr:row>11</xdr:row>
      <xdr:rowOff>76200</xdr:rowOff>
    </xdr:from>
    <xdr:to>
      <xdr:col>12</xdr:col>
      <xdr:colOff>406400</xdr:colOff>
      <xdr:row>16</xdr:row>
      <xdr:rowOff>6733</xdr:rowOff>
    </xdr:to>
    <xdr:sp macro="" textlink="">
      <xdr:nvSpPr>
        <xdr:cNvPr id="12" name="Rectangle: Rounded Corners 11">
          <a:extLst>
            <a:ext uri="{FF2B5EF4-FFF2-40B4-BE49-F238E27FC236}">
              <a16:creationId xmlns:a16="http://schemas.microsoft.com/office/drawing/2014/main" id="{8293180F-831B-2085-F070-2ADF95B73A7E}"/>
            </a:ext>
          </a:extLst>
        </xdr:cNvPr>
        <xdr:cNvSpPr/>
      </xdr:nvSpPr>
      <xdr:spPr>
        <a:xfrm>
          <a:off x="1600199" y="2125133"/>
          <a:ext cx="6121401" cy="861867"/>
        </a:xfrm>
        <a:prstGeom prst="roundRect">
          <a:avLst>
            <a:gd name="adj" fmla="val 6361"/>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397931</xdr:colOff>
      <xdr:row>16</xdr:row>
      <xdr:rowOff>93132</xdr:rowOff>
    </xdr:from>
    <xdr:to>
      <xdr:col>12</xdr:col>
      <xdr:colOff>364064</xdr:colOff>
      <xdr:row>32</xdr:row>
      <xdr:rowOff>177800</xdr:rowOff>
    </xdr:to>
    <xdr:sp macro="" textlink="">
      <xdr:nvSpPr>
        <xdr:cNvPr id="13" name="Rectangle: Rounded Corners 12">
          <a:extLst>
            <a:ext uri="{FF2B5EF4-FFF2-40B4-BE49-F238E27FC236}">
              <a16:creationId xmlns:a16="http://schemas.microsoft.com/office/drawing/2014/main" id="{A63DE9B6-3C38-8DCE-1EF9-6C86F297098D}"/>
            </a:ext>
          </a:extLst>
        </xdr:cNvPr>
        <xdr:cNvSpPr/>
      </xdr:nvSpPr>
      <xdr:spPr>
        <a:xfrm>
          <a:off x="1617131" y="3073399"/>
          <a:ext cx="6062133" cy="3064934"/>
        </a:xfrm>
        <a:prstGeom prst="roundRect">
          <a:avLst>
            <a:gd name="adj" fmla="val 7326"/>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 </a:t>
          </a:r>
        </a:p>
      </xdr:txBody>
    </xdr:sp>
    <xdr:clientData/>
  </xdr:twoCellAnchor>
  <xdr:twoCellAnchor>
    <xdr:from>
      <xdr:col>1</xdr:col>
      <xdr:colOff>108858</xdr:colOff>
      <xdr:row>0</xdr:row>
      <xdr:rowOff>73781</xdr:rowOff>
    </xdr:from>
    <xdr:to>
      <xdr:col>16</xdr:col>
      <xdr:colOff>579363</xdr:colOff>
      <xdr:row>5</xdr:row>
      <xdr:rowOff>65314</xdr:rowOff>
    </xdr:to>
    <xdr:sp macro="" textlink="">
      <xdr:nvSpPr>
        <xdr:cNvPr id="16" name="TextBox 15">
          <a:extLst>
            <a:ext uri="{FF2B5EF4-FFF2-40B4-BE49-F238E27FC236}">
              <a16:creationId xmlns:a16="http://schemas.microsoft.com/office/drawing/2014/main" id="{3494E778-9798-4221-26A7-DB92CDE4998A}"/>
            </a:ext>
          </a:extLst>
        </xdr:cNvPr>
        <xdr:cNvSpPr txBox="1"/>
      </xdr:nvSpPr>
      <xdr:spPr>
        <a:xfrm>
          <a:off x="718458" y="73781"/>
          <a:ext cx="9614505" cy="91681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solidFill>
                <a:schemeClr val="bg1"/>
              </a:solidFill>
            </a:rPr>
            <a:t>Hospital</a:t>
          </a:r>
          <a:r>
            <a:rPr lang="en-IN" sz="4000" b="1" baseline="0">
              <a:solidFill>
                <a:schemeClr val="bg1"/>
              </a:solidFill>
            </a:rPr>
            <a:t> Emergency Room Dashboard</a:t>
          </a:r>
          <a:endParaRPr lang="en-IN" sz="4000" b="1">
            <a:solidFill>
              <a:schemeClr val="bg1"/>
            </a:solidFill>
          </a:endParaRPr>
        </a:p>
      </xdr:txBody>
    </xdr:sp>
    <xdr:clientData/>
  </xdr:twoCellAnchor>
  <xdr:twoCellAnchor editAs="oneCell">
    <xdr:from>
      <xdr:col>0</xdr:col>
      <xdr:colOff>339854</xdr:colOff>
      <xdr:row>1</xdr:row>
      <xdr:rowOff>41124</xdr:rowOff>
    </xdr:from>
    <xdr:to>
      <xdr:col>0</xdr:col>
      <xdr:colOff>585387</xdr:colOff>
      <xdr:row>2</xdr:row>
      <xdr:rowOff>100391</xdr:rowOff>
    </xdr:to>
    <xdr:pic>
      <xdr:nvPicPr>
        <xdr:cNvPr id="18" name="Graphic 17" descr="Medical with solid fill">
          <a:extLst>
            <a:ext uri="{FF2B5EF4-FFF2-40B4-BE49-F238E27FC236}">
              <a16:creationId xmlns:a16="http://schemas.microsoft.com/office/drawing/2014/main" id="{77B9B1C4-5DC4-CA49-2B8D-0AB37A20CC7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flipH="1">
          <a:off x="339854" y="226181"/>
          <a:ext cx="245533" cy="244324"/>
        </a:xfrm>
        <a:prstGeom prst="rect">
          <a:avLst/>
        </a:prstGeom>
      </xdr:spPr>
    </xdr:pic>
    <xdr:clientData/>
  </xdr:twoCellAnchor>
  <xdr:twoCellAnchor editAs="oneCell">
    <xdr:from>
      <xdr:col>0</xdr:col>
      <xdr:colOff>319293</xdr:colOff>
      <xdr:row>1</xdr:row>
      <xdr:rowOff>169334</xdr:rowOff>
    </xdr:from>
    <xdr:to>
      <xdr:col>1</xdr:col>
      <xdr:colOff>410026</xdr:colOff>
      <xdr:row>5</xdr:row>
      <xdr:rowOff>125810</xdr:rowOff>
    </xdr:to>
    <xdr:pic>
      <xdr:nvPicPr>
        <xdr:cNvPr id="20" name="Graphic 19" descr="City with solid fill">
          <a:extLst>
            <a:ext uri="{FF2B5EF4-FFF2-40B4-BE49-F238E27FC236}">
              <a16:creationId xmlns:a16="http://schemas.microsoft.com/office/drawing/2014/main" id="{5571434A-1D07-E661-8780-965069208C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H="1">
          <a:off x="319293" y="354391"/>
          <a:ext cx="700333" cy="696705"/>
        </a:xfrm>
        <a:prstGeom prst="rect">
          <a:avLst/>
        </a:prstGeom>
      </xdr:spPr>
    </xdr:pic>
    <xdr:clientData/>
  </xdr:twoCellAnchor>
  <xdr:oneCellAnchor>
    <xdr:from>
      <xdr:col>7</xdr:col>
      <xdr:colOff>457201</xdr:colOff>
      <xdr:row>4</xdr:row>
      <xdr:rowOff>8467</xdr:rowOff>
    </xdr:from>
    <xdr:ext cx="2192866" cy="266611"/>
    <xdr:sp macro="" textlink="">
      <xdr:nvSpPr>
        <xdr:cNvPr id="21" name="TextBox 20">
          <a:extLst>
            <a:ext uri="{FF2B5EF4-FFF2-40B4-BE49-F238E27FC236}">
              <a16:creationId xmlns:a16="http://schemas.microsoft.com/office/drawing/2014/main" id="{809C3DBA-C2FC-1438-B123-F89A0C0E4280}"/>
            </a:ext>
          </a:extLst>
        </xdr:cNvPr>
        <xdr:cNvSpPr txBox="1"/>
      </xdr:nvSpPr>
      <xdr:spPr>
        <a:xfrm>
          <a:off x="4724401" y="753534"/>
          <a:ext cx="2192866" cy="2666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200" b="1" u="sng">
              <a:solidFill>
                <a:schemeClr val="bg1"/>
              </a:solidFill>
              <a:latin typeface="Bell MT" panose="02020503060305020303" pitchFamily="18" charset="0"/>
            </a:rPr>
            <a:t>Monthly Report</a:t>
          </a:r>
        </a:p>
      </xdr:txBody>
    </xdr:sp>
    <xdr:clientData/>
  </xdr:oneCellAnchor>
  <xdr:twoCellAnchor editAs="oneCell">
    <xdr:from>
      <xdr:col>8</xdr:col>
      <xdr:colOff>321732</xdr:colOff>
      <xdr:row>7</xdr:row>
      <xdr:rowOff>25401</xdr:rowOff>
    </xdr:from>
    <xdr:to>
      <xdr:col>9</xdr:col>
      <xdr:colOff>135466</xdr:colOff>
      <xdr:row>9</xdr:row>
      <xdr:rowOff>76202</xdr:rowOff>
    </xdr:to>
    <xdr:pic>
      <xdr:nvPicPr>
        <xdr:cNvPr id="23" name="Graphic 22" descr="Hourglass Finished with solid fill">
          <a:extLst>
            <a:ext uri="{FF2B5EF4-FFF2-40B4-BE49-F238E27FC236}">
              <a16:creationId xmlns:a16="http://schemas.microsoft.com/office/drawing/2014/main" id="{4F219589-9331-A55E-282A-B23E89660ED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198532" y="1329268"/>
          <a:ext cx="423334" cy="423334"/>
        </a:xfrm>
        <a:prstGeom prst="rect">
          <a:avLst/>
        </a:prstGeom>
      </xdr:spPr>
    </xdr:pic>
    <xdr:clientData/>
  </xdr:twoCellAnchor>
  <xdr:twoCellAnchor editAs="oneCell">
    <xdr:from>
      <xdr:col>5</xdr:col>
      <xdr:colOff>126998</xdr:colOff>
      <xdr:row>6</xdr:row>
      <xdr:rowOff>160866</xdr:rowOff>
    </xdr:from>
    <xdr:to>
      <xdr:col>5</xdr:col>
      <xdr:colOff>567266</xdr:colOff>
      <xdr:row>8</xdr:row>
      <xdr:rowOff>135466</xdr:rowOff>
    </xdr:to>
    <xdr:pic>
      <xdr:nvPicPr>
        <xdr:cNvPr id="25" name="Graphic 24" descr="Male profile with solid fill">
          <a:extLst>
            <a:ext uri="{FF2B5EF4-FFF2-40B4-BE49-F238E27FC236}">
              <a16:creationId xmlns:a16="http://schemas.microsoft.com/office/drawing/2014/main" id="{691939C1-182F-804B-3974-71730D312C9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174998" y="1278466"/>
          <a:ext cx="440268" cy="347133"/>
        </a:xfrm>
        <a:prstGeom prst="rect">
          <a:avLst/>
        </a:prstGeom>
      </xdr:spPr>
    </xdr:pic>
    <xdr:clientData/>
  </xdr:twoCellAnchor>
  <xdr:twoCellAnchor editAs="oneCell">
    <xdr:from>
      <xdr:col>12</xdr:col>
      <xdr:colOff>18311</xdr:colOff>
      <xdr:row>6</xdr:row>
      <xdr:rowOff>181468</xdr:rowOff>
    </xdr:from>
    <xdr:to>
      <xdr:col>12</xdr:col>
      <xdr:colOff>355601</xdr:colOff>
      <xdr:row>8</xdr:row>
      <xdr:rowOff>16934</xdr:rowOff>
    </xdr:to>
    <xdr:pic>
      <xdr:nvPicPr>
        <xdr:cNvPr id="27" name="Graphic 26" descr="Star with solid fill">
          <a:extLst>
            <a:ext uri="{FF2B5EF4-FFF2-40B4-BE49-F238E27FC236}">
              <a16:creationId xmlns:a16="http://schemas.microsoft.com/office/drawing/2014/main" id="{06518243-0FD4-ACFC-1194-4560E1653BB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333511" y="1299068"/>
          <a:ext cx="337290" cy="207999"/>
        </a:xfrm>
        <a:prstGeom prst="rect">
          <a:avLst/>
        </a:prstGeom>
      </xdr:spPr>
    </xdr:pic>
    <xdr:clientData/>
  </xdr:twoCellAnchor>
  <xdr:twoCellAnchor>
    <xdr:from>
      <xdr:col>3</xdr:col>
      <xdr:colOff>152400</xdr:colOff>
      <xdr:row>8</xdr:row>
      <xdr:rowOff>59267</xdr:rowOff>
    </xdr:from>
    <xdr:to>
      <xdr:col>5</xdr:col>
      <xdr:colOff>67733</xdr:colOff>
      <xdr:row>10</xdr:row>
      <xdr:rowOff>110066</xdr:rowOff>
    </xdr:to>
    <xdr:sp macro="" textlink="">
      <xdr:nvSpPr>
        <xdr:cNvPr id="28" name="TextBox 27">
          <a:extLst>
            <a:ext uri="{FF2B5EF4-FFF2-40B4-BE49-F238E27FC236}">
              <a16:creationId xmlns:a16="http://schemas.microsoft.com/office/drawing/2014/main" id="{185CB484-841D-8CA0-B259-30B9D02FD43D}"/>
            </a:ext>
          </a:extLst>
        </xdr:cNvPr>
        <xdr:cNvSpPr txBox="1"/>
      </xdr:nvSpPr>
      <xdr:spPr>
        <a:xfrm>
          <a:off x="1981200" y="1549400"/>
          <a:ext cx="1134533" cy="42333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cap="all"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No. of patient</a:t>
          </a:r>
        </a:p>
        <a:p>
          <a:endParaRPr lang="en-IN" sz="1100" b="1"/>
        </a:p>
      </xdr:txBody>
    </xdr:sp>
    <xdr:clientData/>
  </xdr:twoCellAnchor>
  <xdr:twoCellAnchor>
    <xdr:from>
      <xdr:col>5</xdr:col>
      <xdr:colOff>601134</xdr:colOff>
      <xdr:row>6</xdr:row>
      <xdr:rowOff>143934</xdr:rowOff>
    </xdr:from>
    <xdr:to>
      <xdr:col>9</xdr:col>
      <xdr:colOff>149934</xdr:colOff>
      <xdr:row>11</xdr:row>
      <xdr:rowOff>40601</xdr:rowOff>
    </xdr:to>
    <xdr:sp macro="" textlink="">
      <xdr:nvSpPr>
        <xdr:cNvPr id="29" name="Rectangle: Rounded Corners 28">
          <a:extLst>
            <a:ext uri="{FF2B5EF4-FFF2-40B4-BE49-F238E27FC236}">
              <a16:creationId xmlns:a16="http://schemas.microsoft.com/office/drawing/2014/main" id="{A33908B2-DB50-BFEB-DEB3-5304B14E8815}"/>
            </a:ext>
          </a:extLst>
        </xdr:cNvPr>
        <xdr:cNvSpPr/>
      </xdr:nvSpPr>
      <xdr:spPr>
        <a:xfrm>
          <a:off x="3649134" y="1261534"/>
          <a:ext cx="1987200" cy="828000"/>
        </a:xfrm>
        <a:prstGeom prst="roundRect">
          <a:avLst>
            <a:gd name="adj" fmla="val 4396"/>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clientData/>
  </xdr:twoCellAnchor>
  <xdr:twoCellAnchor>
    <xdr:from>
      <xdr:col>5</xdr:col>
      <xdr:colOff>406400</xdr:colOff>
      <xdr:row>8</xdr:row>
      <xdr:rowOff>50800</xdr:rowOff>
    </xdr:from>
    <xdr:to>
      <xdr:col>9</xdr:col>
      <xdr:colOff>321734</xdr:colOff>
      <xdr:row>10</xdr:row>
      <xdr:rowOff>33867</xdr:rowOff>
    </xdr:to>
    <xdr:sp macro="" textlink="">
      <xdr:nvSpPr>
        <xdr:cNvPr id="30" name="TextBox 29">
          <a:extLst>
            <a:ext uri="{FF2B5EF4-FFF2-40B4-BE49-F238E27FC236}">
              <a16:creationId xmlns:a16="http://schemas.microsoft.com/office/drawing/2014/main" id="{C4FC6469-15BA-7E07-D4C6-880659955EF2}"/>
            </a:ext>
          </a:extLst>
        </xdr:cNvPr>
        <xdr:cNvSpPr txBox="1"/>
      </xdr:nvSpPr>
      <xdr:spPr>
        <a:xfrm>
          <a:off x="3454400" y="1540933"/>
          <a:ext cx="2353734" cy="3556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cap="all"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AVG. WAIT TIME(min)</a:t>
          </a:r>
        </a:p>
        <a:p>
          <a:endParaRPr lang="en-IN" sz="1100" b="1"/>
        </a:p>
      </xdr:txBody>
    </xdr:sp>
    <xdr:clientData/>
  </xdr:twoCellAnchor>
  <xdr:twoCellAnchor>
    <xdr:from>
      <xdr:col>9</xdr:col>
      <xdr:colOff>245532</xdr:colOff>
      <xdr:row>8</xdr:row>
      <xdr:rowOff>59268</xdr:rowOff>
    </xdr:from>
    <xdr:to>
      <xdr:col>13</xdr:col>
      <xdr:colOff>50799</xdr:colOff>
      <xdr:row>10</xdr:row>
      <xdr:rowOff>152399</xdr:rowOff>
    </xdr:to>
    <xdr:sp macro="" textlink="">
      <xdr:nvSpPr>
        <xdr:cNvPr id="33" name="TextBox 32">
          <a:extLst>
            <a:ext uri="{FF2B5EF4-FFF2-40B4-BE49-F238E27FC236}">
              <a16:creationId xmlns:a16="http://schemas.microsoft.com/office/drawing/2014/main" id="{59FCEA41-903F-445F-B295-364F05D6674D}"/>
            </a:ext>
          </a:extLst>
        </xdr:cNvPr>
        <xdr:cNvSpPr txBox="1"/>
      </xdr:nvSpPr>
      <xdr:spPr>
        <a:xfrm>
          <a:off x="5731932" y="1549401"/>
          <a:ext cx="2243667" cy="46566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cap="all"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PATIENT SATISFACTION SCORE</a:t>
          </a:r>
          <a:endParaRPr lang="en-IN" sz="1100" b="1"/>
        </a:p>
      </xdr:txBody>
    </xdr:sp>
    <xdr:clientData/>
  </xdr:twoCellAnchor>
  <xdr:twoCellAnchor editAs="oneCell">
    <xdr:from>
      <xdr:col>8</xdr:col>
      <xdr:colOff>448733</xdr:colOff>
      <xdr:row>7</xdr:row>
      <xdr:rowOff>16933</xdr:rowOff>
    </xdr:from>
    <xdr:to>
      <xdr:col>9</xdr:col>
      <xdr:colOff>110066</xdr:colOff>
      <xdr:row>8</xdr:row>
      <xdr:rowOff>101600</xdr:rowOff>
    </xdr:to>
    <xdr:pic>
      <xdr:nvPicPr>
        <xdr:cNvPr id="35" name="Graphic 34" descr="Hourglass Finished with solid fill">
          <a:extLst>
            <a:ext uri="{FF2B5EF4-FFF2-40B4-BE49-F238E27FC236}">
              <a16:creationId xmlns:a16="http://schemas.microsoft.com/office/drawing/2014/main" id="{38311368-EFF2-EE16-0654-454BB0ECE43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25533" y="1320800"/>
          <a:ext cx="270933" cy="270933"/>
        </a:xfrm>
        <a:prstGeom prst="rect">
          <a:avLst/>
        </a:prstGeom>
      </xdr:spPr>
    </xdr:pic>
    <xdr:clientData/>
  </xdr:twoCellAnchor>
  <xdr:twoCellAnchor>
    <xdr:from>
      <xdr:col>3</xdr:col>
      <xdr:colOff>397932</xdr:colOff>
      <xdr:row>6</xdr:row>
      <xdr:rowOff>127000</xdr:rowOff>
    </xdr:from>
    <xdr:to>
      <xdr:col>5</xdr:col>
      <xdr:colOff>313265</xdr:colOff>
      <xdr:row>8</xdr:row>
      <xdr:rowOff>186266</xdr:rowOff>
    </xdr:to>
    <xdr:sp macro="" textlink="'Pivot Report'!A5">
      <xdr:nvSpPr>
        <xdr:cNvPr id="36" name="TextBox 35">
          <a:extLst>
            <a:ext uri="{FF2B5EF4-FFF2-40B4-BE49-F238E27FC236}">
              <a16:creationId xmlns:a16="http://schemas.microsoft.com/office/drawing/2014/main" id="{0AEB27D7-C83C-FD83-E0E8-B064E898FBE4}"/>
            </a:ext>
          </a:extLst>
        </xdr:cNvPr>
        <xdr:cNvSpPr txBox="1"/>
      </xdr:nvSpPr>
      <xdr:spPr>
        <a:xfrm>
          <a:off x="2226732" y="1244600"/>
          <a:ext cx="1134533" cy="43179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A9CB1D4F-5D69-4825-BE89-3F6A707F21C4}" type="TxLink">
            <a:rPr lang="en-US" sz="2000" b="0" i="0" u="none" strike="noStrike" cap="all" baseline="0">
              <a:solidFill>
                <a:srgbClr val="000000"/>
              </a:solidFill>
              <a:effectLst/>
              <a:latin typeface="Aptos Narrow"/>
              <a:ea typeface="Calibri" panose="020F0502020204030204" pitchFamily="34" charset="0"/>
              <a:cs typeface="Calibri" panose="020F0502020204030204" pitchFamily="34" charset="0"/>
            </a:rPr>
            <a:pPr marL="0" marR="0" lvl="0" indent="0" defTabSz="914400" eaLnBrk="1" fontAlgn="auto" latinLnBrk="0" hangingPunct="1">
              <a:lnSpc>
                <a:spcPct val="100000"/>
              </a:lnSpc>
              <a:spcBef>
                <a:spcPts val="0"/>
              </a:spcBef>
              <a:spcAft>
                <a:spcPts val="0"/>
              </a:spcAft>
              <a:buClrTx/>
              <a:buSzTx/>
              <a:buFontTx/>
              <a:buNone/>
              <a:tabLst/>
              <a:defRPr/>
            </a:pPr>
            <a:t>489</a:t>
          </a:fld>
          <a:endParaRPr lang="en-IN" sz="2000" b="1"/>
        </a:p>
      </xdr:txBody>
    </xdr:sp>
    <xdr:clientData/>
  </xdr:twoCellAnchor>
  <xdr:twoCellAnchor>
    <xdr:from>
      <xdr:col>5</xdr:col>
      <xdr:colOff>508001</xdr:colOff>
      <xdr:row>6</xdr:row>
      <xdr:rowOff>76202</xdr:rowOff>
    </xdr:from>
    <xdr:to>
      <xdr:col>9</xdr:col>
      <xdr:colOff>423335</xdr:colOff>
      <xdr:row>8</xdr:row>
      <xdr:rowOff>177803</xdr:rowOff>
    </xdr:to>
    <xdr:sp macro="" textlink="'Pivot Report'!A9">
      <xdr:nvSpPr>
        <xdr:cNvPr id="37" name="TextBox 36">
          <a:extLst>
            <a:ext uri="{FF2B5EF4-FFF2-40B4-BE49-F238E27FC236}">
              <a16:creationId xmlns:a16="http://schemas.microsoft.com/office/drawing/2014/main" id="{E13A3A44-7548-496F-E742-02BC305BE74E}"/>
            </a:ext>
          </a:extLst>
        </xdr:cNvPr>
        <xdr:cNvSpPr txBox="1"/>
      </xdr:nvSpPr>
      <xdr:spPr>
        <a:xfrm>
          <a:off x="3556001" y="1193802"/>
          <a:ext cx="2353734" cy="47413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7EFF1A7B-AE98-42A8-9FDB-AAABD557A8FB}" type="TxLink">
            <a:rPr lang="en-US" sz="2000" b="0" i="0" u="none" strike="noStrike" cap="all" baseline="0">
              <a:solidFill>
                <a:srgbClr val="000000"/>
              </a:solidFill>
              <a:effectLst/>
              <a:latin typeface="Aptos Narrow"/>
              <a:ea typeface="Calibri" panose="020F0502020204030204" pitchFamily="34" charset="0"/>
              <a:cs typeface="Calibri" panose="020F0502020204030204" pitchFamily="34" charset="0"/>
            </a:rPr>
            <a:pPr marL="0" marR="0" lvl="0" indent="0" algn="ctr" defTabSz="914400" eaLnBrk="1" fontAlgn="auto" latinLnBrk="0" hangingPunct="1">
              <a:lnSpc>
                <a:spcPct val="100000"/>
              </a:lnSpc>
              <a:spcBef>
                <a:spcPts val="0"/>
              </a:spcBef>
              <a:spcAft>
                <a:spcPts val="0"/>
              </a:spcAft>
              <a:buClrTx/>
              <a:buSzTx/>
              <a:buFontTx/>
              <a:buNone/>
              <a:tabLst/>
              <a:defRPr/>
            </a:pPr>
            <a:t>34.76</a:t>
          </a:fld>
          <a:endParaRPr lang="en-IN" sz="2000" b="1"/>
        </a:p>
      </xdr:txBody>
    </xdr:sp>
    <xdr:clientData/>
  </xdr:twoCellAnchor>
  <xdr:twoCellAnchor>
    <xdr:from>
      <xdr:col>8</xdr:col>
      <xdr:colOff>575733</xdr:colOff>
      <xdr:row>6</xdr:row>
      <xdr:rowOff>67733</xdr:rowOff>
    </xdr:from>
    <xdr:to>
      <xdr:col>12</xdr:col>
      <xdr:colOff>491067</xdr:colOff>
      <xdr:row>8</xdr:row>
      <xdr:rowOff>152401</xdr:rowOff>
    </xdr:to>
    <xdr:sp macro="" textlink="'Pivot Report'!A12">
      <xdr:nvSpPr>
        <xdr:cNvPr id="42" name="TextBox 41">
          <a:extLst>
            <a:ext uri="{FF2B5EF4-FFF2-40B4-BE49-F238E27FC236}">
              <a16:creationId xmlns:a16="http://schemas.microsoft.com/office/drawing/2014/main" id="{661D9C35-37F0-D16E-9E4F-760F8A89BFF6}"/>
            </a:ext>
          </a:extLst>
        </xdr:cNvPr>
        <xdr:cNvSpPr txBox="1"/>
      </xdr:nvSpPr>
      <xdr:spPr>
        <a:xfrm>
          <a:off x="5452533" y="1185333"/>
          <a:ext cx="2353734" cy="4572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505E31E5-5694-4DC8-83FD-A930F2135C23}" type="TxLink">
            <a:rPr lang="en-US" sz="2000" b="0" i="0" u="none" strike="noStrike" cap="all" baseline="0">
              <a:solidFill>
                <a:srgbClr val="000000"/>
              </a:solidFill>
              <a:effectLst/>
              <a:latin typeface="Aptos Narrow"/>
              <a:ea typeface="Calibri" panose="020F0502020204030204" pitchFamily="34" charset="0"/>
              <a:cs typeface="Calibri" panose="020F0502020204030204" pitchFamily="34" charset="0"/>
            </a:rPr>
            <a:pPr marL="0" marR="0" lvl="0" indent="0" algn="ctr" defTabSz="914400" eaLnBrk="1" fontAlgn="auto" latinLnBrk="0" hangingPunct="1">
              <a:lnSpc>
                <a:spcPct val="100000"/>
              </a:lnSpc>
              <a:spcBef>
                <a:spcPts val="0"/>
              </a:spcBef>
              <a:spcAft>
                <a:spcPts val="0"/>
              </a:spcAft>
              <a:buClrTx/>
              <a:buSzTx/>
              <a:buFontTx/>
              <a:buNone/>
              <a:tabLst/>
              <a:defRPr/>
            </a:pPr>
            <a:t>4.68</a:t>
          </a:fld>
          <a:endParaRPr lang="en-IN" sz="2000" b="1"/>
        </a:p>
      </xdr:txBody>
    </xdr:sp>
    <xdr:clientData/>
  </xdr:twoCellAnchor>
  <xdr:twoCellAnchor editAs="oneCell">
    <xdr:from>
      <xdr:col>0</xdr:col>
      <xdr:colOff>211667</xdr:colOff>
      <xdr:row>6</xdr:row>
      <xdr:rowOff>66675</xdr:rowOff>
    </xdr:from>
    <xdr:to>
      <xdr:col>2</xdr:col>
      <xdr:colOff>211667</xdr:colOff>
      <xdr:row>33</xdr:row>
      <xdr:rowOff>8467</xdr:rowOff>
    </xdr:to>
    <mc:AlternateContent xmlns:mc="http://schemas.openxmlformats.org/markup-compatibility/2006" xmlns:a14="http://schemas.microsoft.com/office/drawing/2010/main">
      <mc:Choice Requires="a14">
        <xdr:graphicFrame macro="">
          <xdr:nvGraphicFramePr>
            <xdr:cNvPr id="43" name="Date (Month)">
              <a:extLst>
                <a:ext uri="{FF2B5EF4-FFF2-40B4-BE49-F238E27FC236}">
                  <a16:creationId xmlns:a16="http://schemas.microsoft.com/office/drawing/2014/main" id="{F313840E-ED3A-45A1-B9C7-4E158163DF34}"/>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11667" y="1152525"/>
              <a:ext cx="1219200" cy="4828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395817</xdr:colOff>
      <xdr:row>7</xdr:row>
      <xdr:rowOff>8467</xdr:rowOff>
    </xdr:from>
    <xdr:to>
      <xdr:col>5</xdr:col>
      <xdr:colOff>573617</xdr:colOff>
      <xdr:row>10</xdr:row>
      <xdr:rowOff>147110</xdr:rowOff>
    </xdr:to>
    <xdr:graphicFrame macro="">
      <xdr:nvGraphicFramePr>
        <xdr:cNvPr id="45" name="Chart 44" hidden="1">
          <a:hlinkClick xmlns:r="http://schemas.openxmlformats.org/officeDocument/2006/relationships" r:id="rId11"/>
          <a:extLst>
            <a:ext uri="{FF2B5EF4-FFF2-40B4-BE49-F238E27FC236}">
              <a16:creationId xmlns:a16="http://schemas.microsoft.com/office/drawing/2014/main" id="{1CC7388D-47BA-427A-85DF-373108141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118533</xdr:colOff>
      <xdr:row>8</xdr:row>
      <xdr:rowOff>126999</xdr:rowOff>
    </xdr:from>
    <xdr:to>
      <xdr:col>12</xdr:col>
      <xdr:colOff>558798</xdr:colOff>
      <xdr:row>11</xdr:row>
      <xdr:rowOff>143932</xdr:rowOff>
    </xdr:to>
    <xdr:graphicFrame macro="">
      <xdr:nvGraphicFramePr>
        <xdr:cNvPr id="49" name="Chart 48">
          <a:hlinkClick xmlns:r="http://schemas.openxmlformats.org/officeDocument/2006/relationships" r:id="rId13"/>
          <a:extLst>
            <a:ext uri="{FF2B5EF4-FFF2-40B4-BE49-F238E27FC236}">
              <a16:creationId xmlns:a16="http://schemas.microsoft.com/office/drawing/2014/main" id="{4F4BECD7-ADCC-450D-A090-5444FACA8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474133</xdr:colOff>
      <xdr:row>8</xdr:row>
      <xdr:rowOff>177800</xdr:rowOff>
    </xdr:from>
    <xdr:to>
      <xdr:col>9</xdr:col>
      <xdr:colOff>296333</xdr:colOff>
      <xdr:row>11</xdr:row>
      <xdr:rowOff>169333</xdr:rowOff>
    </xdr:to>
    <xdr:graphicFrame macro="">
      <xdr:nvGraphicFramePr>
        <xdr:cNvPr id="48" name="Chart 47">
          <a:hlinkClick xmlns:r="http://schemas.openxmlformats.org/officeDocument/2006/relationships" r:id="rId15"/>
          <a:extLst>
            <a:ext uri="{FF2B5EF4-FFF2-40B4-BE49-F238E27FC236}">
              <a16:creationId xmlns:a16="http://schemas.microsoft.com/office/drawing/2014/main" id="{E8ABD66E-260F-437E-9553-F2E11EA80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414868</xdr:colOff>
      <xdr:row>11</xdr:row>
      <xdr:rowOff>118534</xdr:rowOff>
    </xdr:from>
    <xdr:to>
      <xdr:col>12</xdr:col>
      <xdr:colOff>372533</xdr:colOff>
      <xdr:row>13</xdr:row>
      <xdr:rowOff>34000</xdr:rowOff>
    </xdr:to>
    <xdr:sp macro="" textlink="">
      <xdr:nvSpPr>
        <xdr:cNvPr id="67" name="Rectangle: Rounded Corners 66">
          <a:extLst>
            <a:ext uri="{FF2B5EF4-FFF2-40B4-BE49-F238E27FC236}">
              <a16:creationId xmlns:a16="http://schemas.microsoft.com/office/drawing/2014/main" id="{4F8E7FC6-CB61-ABE2-40A5-BEA42A36E481}"/>
            </a:ext>
          </a:extLst>
        </xdr:cNvPr>
        <xdr:cNvSpPr/>
      </xdr:nvSpPr>
      <xdr:spPr>
        <a:xfrm>
          <a:off x="1634068" y="2167467"/>
          <a:ext cx="6053665" cy="288000"/>
        </a:xfrm>
        <a:prstGeom prst="round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2700000" scaled="1"/>
          <a:tileRect/>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2</xdr:col>
          <xdr:colOff>602314</xdr:colOff>
          <xdr:row>11</xdr:row>
          <xdr:rowOff>124068</xdr:rowOff>
        </xdr:from>
        <xdr:to>
          <xdr:col>12</xdr:col>
          <xdr:colOff>399113</xdr:colOff>
          <xdr:row>15</xdr:row>
          <xdr:rowOff>167691</xdr:rowOff>
        </xdr:to>
        <xdr:pic>
          <xdr:nvPicPr>
            <xdr:cNvPr id="66" name="Picture 65">
              <a:extLst>
                <a:ext uri="{FF2B5EF4-FFF2-40B4-BE49-F238E27FC236}">
                  <a16:creationId xmlns:a16="http://schemas.microsoft.com/office/drawing/2014/main" id="{E3DB9A93-DF23-2920-E359-A7A58C621698}"/>
                </a:ext>
              </a:extLst>
            </xdr:cNvPr>
            <xdr:cNvPicPr>
              <a:picLocks noChangeAspect="1" noChangeArrowheads="1"/>
              <a:extLst>
                <a:ext uri="{84589F7E-364E-4C9E-8A38-B11213B215E9}">
                  <a14:cameraTool cellRange="'Pivot Report'!$A$46:$D$48" spid="_x0000_s3137"/>
                </a:ext>
              </a:extLst>
            </xdr:cNvPicPr>
          </xdr:nvPicPr>
          <xdr:blipFill>
            <a:blip xmlns:r="http://schemas.openxmlformats.org/officeDocument/2006/relationships" r:embed="rId17"/>
            <a:srcRect/>
            <a:stretch>
              <a:fillRect/>
            </a:stretch>
          </xdr:blipFill>
          <xdr:spPr bwMode="auto">
            <a:xfrm>
              <a:off x="1817656" y="2139992"/>
              <a:ext cx="5873508" cy="77668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516467</xdr:colOff>
      <xdr:row>16</xdr:row>
      <xdr:rowOff>169333</xdr:rowOff>
    </xdr:from>
    <xdr:to>
      <xdr:col>12</xdr:col>
      <xdr:colOff>313267</xdr:colOff>
      <xdr:row>31</xdr:row>
      <xdr:rowOff>25400</xdr:rowOff>
    </xdr:to>
    <xdr:graphicFrame macro="">
      <xdr:nvGraphicFramePr>
        <xdr:cNvPr id="68" name="Chart 67">
          <a:extLst>
            <a:ext uri="{FF2B5EF4-FFF2-40B4-BE49-F238E27FC236}">
              <a16:creationId xmlns:a16="http://schemas.microsoft.com/office/drawing/2014/main" id="{6EC6C53A-F2E0-4829-A4B4-D74046028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567267</xdr:colOff>
      <xdr:row>31</xdr:row>
      <xdr:rowOff>25400</xdr:rowOff>
    </xdr:from>
    <xdr:to>
      <xdr:col>12</xdr:col>
      <xdr:colOff>195267</xdr:colOff>
      <xdr:row>32</xdr:row>
      <xdr:rowOff>91134</xdr:rowOff>
    </xdr:to>
    <xdr:sp macro="" textlink="">
      <xdr:nvSpPr>
        <xdr:cNvPr id="69" name="Rectangle: Rounded Corners 68">
          <a:extLst>
            <a:ext uri="{FF2B5EF4-FFF2-40B4-BE49-F238E27FC236}">
              <a16:creationId xmlns:a16="http://schemas.microsoft.com/office/drawing/2014/main" id="{D237A0C2-91B3-47A8-AB3F-CC3880563D85}"/>
            </a:ext>
          </a:extLst>
        </xdr:cNvPr>
        <xdr:cNvSpPr/>
      </xdr:nvSpPr>
      <xdr:spPr>
        <a:xfrm>
          <a:off x="1786467" y="5799667"/>
          <a:ext cx="5724000" cy="252000"/>
        </a:xfrm>
        <a:prstGeom prst="roundRect">
          <a:avLst>
            <a:gd name="adj" fmla="val 20968"/>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2700000" scaled="1"/>
          <a:tileRect/>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latin typeface="Calibri" panose="020F0502020204030204" pitchFamily="34" charset="0"/>
              <a:ea typeface="Calibri" panose="020F0502020204030204" pitchFamily="34" charset="0"/>
              <a:cs typeface="Calibri" panose="020F0502020204030204" pitchFamily="34" charset="0"/>
            </a:rPr>
            <a:t>No. off Patient by Age group</a:t>
          </a:r>
        </a:p>
      </xdr:txBody>
    </xdr:sp>
    <xdr:clientData/>
  </xdr:twoCellAnchor>
  <xdr:twoCellAnchor>
    <xdr:from>
      <xdr:col>6</xdr:col>
      <xdr:colOff>118534</xdr:colOff>
      <xdr:row>31</xdr:row>
      <xdr:rowOff>33866</xdr:rowOff>
    </xdr:from>
    <xdr:to>
      <xdr:col>8</xdr:col>
      <xdr:colOff>491068</xdr:colOff>
      <xdr:row>33</xdr:row>
      <xdr:rowOff>8466</xdr:rowOff>
    </xdr:to>
    <xdr:sp macro="" textlink="">
      <xdr:nvSpPr>
        <xdr:cNvPr id="79" name="TextBox 78">
          <a:extLst>
            <a:ext uri="{FF2B5EF4-FFF2-40B4-BE49-F238E27FC236}">
              <a16:creationId xmlns:a16="http://schemas.microsoft.com/office/drawing/2014/main" id="{F1D57B38-6DE3-48EC-8B9C-14904990C850}"/>
            </a:ext>
          </a:extLst>
        </xdr:cNvPr>
        <xdr:cNvSpPr txBox="1"/>
      </xdr:nvSpPr>
      <xdr:spPr>
        <a:xfrm>
          <a:off x="3776134" y="5808133"/>
          <a:ext cx="1591734" cy="34713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IN" sz="1600" b="1" cap="all" baseline="0">
            <a:solidFill>
              <a:schemeClr val="tx1"/>
            </a:solidFill>
            <a:effectLst/>
            <a:latin typeface="Calibri" panose="020F0502020204030204" pitchFamily="34" charset="0"/>
            <a:ea typeface="Calibri" panose="020F0502020204030204" pitchFamily="34" charset="0"/>
            <a:cs typeface="Calibri" panose="020F0502020204030204" pitchFamily="34" charset="0"/>
          </a:endParaRPr>
        </a:p>
        <a:p>
          <a:endParaRPr lang="en-IN" sz="1100" b="1"/>
        </a:p>
      </xdr:txBody>
    </xdr:sp>
    <xdr:clientData/>
  </xdr:twoCellAnchor>
  <xdr:twoCellAnchor>
    <xdr:from>
      <xdr:col>12</xdr:col>
      <xdr:colOff>550334</xdr:colOff>
      <xdr:row>6</xdr:row>
      <xdr:rowOff>76198</xdr:rowOff>
    </xdr:from>
    <xdr:to>
      <xdr:col>15</xdr:col>
      <xdr:colOff>533400</xdr:colOff>
      <xdr:row>15</xdr:row>
      <xdr:rowOff>177800</xdr:rowOff>
    </xdr:to>
    <xdr:graphicFrame macro="">
      <xdr:nvGraphicFramePr>
        <xdr:cNvPr id="86" name="Chart 85">
          <a:extLst>
            <a:ext uri="{FF2B5EF4-FFF2-40B4-BE49-F238E27FC236}">
              <a16:creationId xmlns:a16="http://schemas.microsoft.com/office/drawing/2014/main" id="{FC2E6712-BDD6-4A1F-94A9-7714332EF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16</xdr:col>
      <xdr:colOff>116116</xdr:colOff>
      <xdr:row>6</xdr:row>
      <xdr:rowOff>76201</xdr:rowOff>
    </xdr:from>
    <xdr:to>
      <xdr:col>19</xdr:col>
      <xdr:colOff>325316</xdr:colOff>
      <xdr:row>17</xdr:row>
      <xdr:rowOff>143933</xdr:rowOff>
    </xdr:to>
    <xdr:sp macro="" textlink="">
      <xdr:nvSpPr>
        <xdr:cNvPr id="87" name="Rectangle: Rounded Corners 86">
          <a:extLst>
            <a:ext uri="{FF2B5EF4-FFF2-40B4-BE49-F238E27FC236}">
              <a16:creationId xmlns:a16="http://schemas.microsoft.com/office/drawing/2014/main" id="{341E470E-2F41-BE62-2C0C-FE4AF3C280DE}"/>
            </a:ext>
          </a:extLst>
        </xdr:cNvPr>
        <xdr:cNvSpPr/>
      </xdr:nvSpPr>
      <xdr:spPr>
        <a:xfrm>
          <a:off x="9869716" y="1186544"/>
          <a:ext cx="2038000" cy="2103360"/>
        </a:xfrm>
        <a:prstGeom prst="roundRect">
          <a:avLst>
            <a:gd name="adj" fmla="val 6722"/>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0</xdr:colOff>
      <xdr:row>16</xdr:row>
      <xdr:rowOff>59266</xdr:rowOff>
    </xdr:from>
    <xdr:to>
      <xdr:col>15</xdr:col>
      <xdr:colOff>544800</xdr:colOff>
      <xdr:row>17</xdr:row>
      <xdr:rowOff>89000</xdr:rowOff>
    </xdr:to>
    <xdr:sp macro="" textlink="">
      <xdr:nvSpPr>
        <xdr:cNvPr id="88" name="Rectangle: Rounded Corners 87">
          <a:extLst>
            <a:ext uri="{FF2B5EF4-FFF2-40B4-BE49-F238E27FC236}">
              <a16:creationId xmlns:a16="http://schemas.microsoft.com/office/drawing/2014/main" id="{540E99F7-5894-4483-A187-F720948A095A}"/>
            </a:ext>
          </a:extLst>
        </xdr:cNvPr>
        <xdr:cNvSpPr/>
      </xdr:nvSpPr>
      <xdr:spPr>
        <a:xfrm>
          <a:off x="7924800" y="3039533"/>
          <a:ext cx="1764000" cy="216000"/>
        </a:xfrm>
        <a:prstGeom prst="roundRect">
          <a:avLst>
            <a:gd name="adj" fmla="val 23519"/>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2700000" scaled="1"/>
          <a:tileRect/>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solidFill>
              <a:latin typeface="Calibri" panose="020F0502020204030204" pitchFamily="34" charset="0"/>
              <a:ea typeface="Calibri" panose="020F0502020204030204" pitchFamily="34" charset="0"/>
              <a:cs typeface="Calibri" panose="020F0502020204030204" pitchFamily="34" charset="0"/>
            </a:rPr>
            <a:t>Patient</a:t>
          </a:r>
          <a:r>
            <a:rPr lang="en-IN" sz="1200" b="1" baseline="0">
              <a:solidFill>
                <a:schemeClr val="tx1"/>
              </a:solidFill>
              <a:latin typeface="Calibri" panose="020F0502020204030204" pitchFamily="34" charset="0"/>
              <a:ea typeface="Calibri" panose="020F0502020204030204" pitchFamily="34" charset="0"/>
              <a:cs typeface="Calibri" panose="020F0502020204030204" pitchFamily="34" charset="0"/>
            </a:rPr>
            <a:t> Attend Status</a:t>
          </a:r>
          <a:endParaRPr lang="en-IN" sz="12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16</xdr:col>
      <xdr:colOff>287867</xdr:colOff>
      <xdr:row>5</xdr:row>
      <xdr:rowOff>93133</xdr:rowOff>
    </xdr:from>
    <xdr:to>
      <xdr:col>19</xdr:col>
      <xdr:colOff>220135</xdr:colOff>
      <xdr:row>16</xdr:row>
      <xdr:rowOff>12700</xdr:rowOff>
    </xdr:to>
    <xdr:graphicFrame macro="">
      <xdr:nvGraphicFramePr>
        <xdr:cNvPr id="89" name="Chart 88">
          <a:extLst>
            <a:ext uri="{FF2B5EF4-FFF2-40B4-BE49-F238E27FC236}">
              <a16:creationId xmlns:a16="http://schemas.microsoft.com/office/drawing/2014/main" id="{64A048FF-03B0-4DF0-9908-769DDB9C8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16</xdr:col>
      <xdr:colOff>262468</xdr:colOff>
      <xdr:row>16</xdr:row>
      <xdr:rowOff>42333</xdr:rowOff>
    </xdr:from>
    <xdr:to>
      <xdr:col>19</xdr:col>
      <xdr:colOff>197668</xdr:colOff>
      <xdr:row>17</xdr:row>
      <xdr:rowOff>72067</xdr:rowOff>
    </xdr:to>
    <xdr:sp macro="" textlink="">
      <xdr:nvSpPr>
        <xdr:cNvPr id="90" name="Rectangle: Rounded Corners 89">
          <a:extLst>
            <a:ext uri="{FF2B5EF4-FFF2-40B4-BE49-F238E27FC236}">
              <a16:creationId xmlns:a16="http://schemas.microsoft.com/office/drawing/2014/main" id="{37276F75-6B40-4FC1-B6A4-17DED352BEBE}"/>
            </a:ext>
          </a:extLst>
        </xdr:cNvPr>
        <xdr:cNvSpPr/>
      </xdr:nvSpPr>
      <xdr:spPr>
        <a:xfrm>
          <a:off x="10016068" y="3022600"/>
          <a:ext cx="1764000" cy="216000"/>
        </a:xfrm>
        <a:prstGeom prst="roundRect">
          <a:avLst>
            <a:gd name="adj" fmla="val 23519"/>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2700000" scaled="1"/>
          <a:tileRect/>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solidFill>
              <a:latin typeface="Calibri" panose="020F0502020204030204" pitchFamily="34" charset="0"/>
              <a:ea typeface="Calibri" panose="020F0502020204030204" pitchFamily="34" charset="0"/>
              <a:cs typeface="Calibri" panose="020F0502020204030204" pitchFamily="34" charset="0"/>
            </a:rPr>
            <a:t>Gender</a:t>
          </a:r>
          <a:r>
            <a:rPr lang="en-IN" sz="1200" b="1" baseline="0">
              <a:solidFill>
                <a:schemeClr val="tx1"/>
              </a:solidFill>
              <a:latin typeface="Calibri" panose="020F0502020204030204" pitchFamily="34" charset="0"/>
              <a:ea typeface="Calibri" panose="020F0502020204030204" pitchFamily="34" charset="0"/>
              <a:cs typeface="Calibri" panose="020F0502020204030204" pitchFamily="34" charset="0"/>
            </a:rPr>
            <a:t> Wise Analysis</a:t>
          </a:r>
          <a:endParaRPr lang="en-IN" sz="12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457198</xdr:colOff>
      <xdr:row>17</xdr:row>
      <xdr:rowOff>110068</xdr:rowOff>
    </xdr:from>
    <xdr:to>
      <xdr:col>19</xdr:col>
      <xdr:colOff>194733</xdr:colOff>
      <xdr:row>30</xdr:row>
      <xdr:rowOff>127001</xdr:rowOff>
    </xdr:to>
    <xdr:graphicFrame macro="">
      <xdr:nvGraphicFramePr>
        <xdr:cNvPr id="92" name="Chart 91">
          <a:extLst>
            <a:ext uri="{FF2B5EF4-FFF2-40B4-BE49-F238E27FC236}">
              <a16:creationId xmlns:a16="http://schemas.microsoft.com/office/drawing/2014/main" id="{698C398D-257E-4833-9AFB-71361A444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12</xdr:col>
      <xdr:colOff>592666</xdr:colOff>
      <xdr:row>31</xdr:row>
      <xdr:rowOff>2</xdr:rowOff>
    </xdr:from>
    <xdr:to>
      <xdr:col>19</xdr:col>
      <xdr:colOff>213466</xdr:colOff>
      <xdr:row>32</xdr:row>
      <xdr:rowOff>29736</xdr:rowOff>
    </xdr:to>
    <xdr:sp macro="" textlink="">
      <xdr:nvSpPr>
        <xdr:cNvPr id="93" name="Rectangle: Rounded Corners 92">
          <a:extLst>
            <a:ext uri="{FF2B5EF4-FFF2-40B4-BE49-F238E27FC236}">
              <a16:creationId xmlns:a16="http://schemas.microsoft.com/office/drawing/2014/main" id="{C38201AF-EA2C-4302-A635-25677122170B}"/>
            </a:ext>
          </a:extLst>
        </xdr:cNvPr>
        <xdr:cNvSpPr/>
      </xdr:nvSpPr>
      <xdr:spPr>
        <a:xfrm>
          <a:off x="7907866" y="5774269"/>
          <a:ext cx="3888000" cy="216000"/>
        </a:xfrm>
        <a:prstGeom prst="roundRect">
          <a:avLst>
            <a:gd name="adj" fmla="val 23519"/>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2700000" scaled="1"/>
          <a:tileRect/>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solidFill>
              <a:latin typeface="Calibri" panose="020F0502020204030204" pitchFamily="34" charset="0"/>
              <a:ea typeface="Calibri" panose="020F0502020204030204" pitchFamily="34" charset="0"/>
              <a:cs typeface="Calibri" panose="020F0502020204030204" pitchFamily="34" charset="0"/>
            </a:rPr>
            <a:t>No.off</a:t>
          </a:r>
          <a:r>
            <a:rPr lang="en-IN" sz="1200" b="1" baseline="0">
              <a:solidFill>
                <a:schemeClr val="tx1"/>
              </a:solidFill>
              <a:latin typeface="Calibri" panose="020F0502020204030204" pitchFamily="34" charset="0"/>
              <a:ea typeface="Calibri" panose="020F0502020204030204" pitchFamily="34" charset="0"/>
              <a:cs typeface="Calibri" panose="020F0502020204030204" pitchFamily="34" charset="0"/>
            </a:rPr>
            <a:t> Patient by Department Referal</a:t>
          </a:r>
          <a:endParaRPr lang="en-IN" sz="12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177799</xdr:colOff>
      <xdr:row>1</xdr:row>
      <xdr:rowOff>1</xdr:rowOff>
    </xdr:from>
    <xdr:to>
      <xdr:col>19</xdr:col>
      <xdr:colOff>326599</xdr:colOff>
      <xdr:row>5</xdr:row>
      <xdr:rowOff>126135</xdr:rowOff>
    </xdr:to>
    <xdr:sp macro="" textlink="">
      <xdr:nvSpPr>
        <xdr:cNvPr id="96" name="Rectangle: Rounded Corners 95">
          <a:extLst>
            <a:ext uri="{FF2B5EF4-FFF2-40B4-BE49-F238E27FC236}">
              <a16:creationId xmlns:a16="http://schemas.microsoft.com/office/drawing/2014/main" id="{274682E5-D759-7C9A-092F-EA43E1522B09}"/>
            </a:ext>
          </a:extLst>
        </xdr:cNvPr>
        <xdr:cNvSpPr/>
      </xdr:nvSpPr>
      <xdr:spPr>
        <a:xfrm>
          <a:off x="10540999" y="186268"/>
          <a:ext cx="1368000" cy="871200"/>
        </a:xfrm>
        <a:prstGeom prst="roundRect">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230325</xdr:colOff>
      <xdr:row>1</xdr:row>
      <xdr:rowOff>94310</xdr:rowOff>
    </xdr:from>
    <xdr:to>
      <xdr:col>19</xdr:col>
      <xdr:colOff>229658</xdr:colOff>
      <xdr:row>5</xdr:row>
      <xdr:rowOff>69244</xdr:rowOff>
    </xdr:to>
    <mc:AlternateContent xmlns:mc="http://schemas.openxmlformats.org/markup-compatibility/2006" xmlns:a14="http://schemas.microsoft.com/office/drawing/2010/main">
      <mc:Choice Requires="a14">
        <xdr:graphicFrame macro="">
          <xdr:nvGraphicFramePr>
            <xdr:cNvPr id="95" name="Date (Year)">
              <a:extLst>
                <a:ext uri="{FF2B5EF4-FFF2-40B4-BE49-F238E27FC236}">
                  <a16:creationId xmlns:a16="http://schemas.microsoft.com/office/drawing/2014/main" id="{744B9E79-020D-4D83-BD57-57DE0DBC971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0593525" y="275285"/>
              <a:ext cx="1218533" cy="698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409575</xdr:colOff>
      <xdr:row>9</xdr:row>
      <xdr:rowOff>19050</xdr:rowOff>
    </xdr:from>
    <xdr:to>
      <xdr:col>5</xdr:col>
      <xdr:colOff>542925</xdr:colOff>
      <xdr:row>11</xdr:row>
      <xdr:rowOff>0</xdr:rowOff>
    </xdr:to>
    <xdr:graphicFrame macro="">
      <xdr:nvGraphicFramePr>
        <xdr:cNvPr id="5" name="Chart 4">
          <a:hlinkClick xmlns:r="http://schemas.openxmlformats.org/officeDocument/2006/relationships" r:id="rId22"/>
          <a:extLst>
            <a:ext uri="{FF2B5EF4-FFF2-40B4-BE49-F238E27FC236}">
              <a16:creationId xmlns:a16="http://schemas.microsoft.com/office/drawing/2014/main" id="{096BE642-E105-447D-88C3-5500DFFFE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106680</xdr:colOff>
      <xdr:row>0</xdr:row>
      <xdr:rowOff>129540</xdr:rowOff>
    </xdr:from>
    <xdr:to>
      <xdr:col>12</xdr:col>
      <xdr:colOff>457200</xdr:colOff>
      <xdr:row>23</xdr:row>
      <xdr:rowOff>152400</xdr:rowOff>
    </xdr:to>
    <xdr:sp macro="" textlink="">
      <xdr:nvSpPr>
        <xdr:cNvPr id="5" name="Rectangle: Rounded Corners 4">
          <a:extLst>
            <a:ext uri="{FF2B5EF4-FFF2-40B4-BE49-F238E27FC236}">
              <a16:creationId xmlns:a16="http://schemas.microsoft.com/office/drawing/2014/main" id="{19313EC1-F145-5C9B-6B6E-538884AEE170}"/>
            </a:ext>
          </a:extLst>
        </xdr:cNvPr>
        <xdr:cNvSpPr/>
      </xdr:nvSpPr>
      <xdr:spPr>
        <a:xfrm>
          <a:off x="106680" y="129540"/>
          <a:ext cx="7665720" cy="4229100"/>
        </a:xfrm>
        <a:prstGeom prst="roundRect">
          <a:avLst>
            <a:gd name="adj" fmla="val 2677"/>
          </a:avLst>
        </a:prstGeom>
        <a:gradFill flip="none" rotWithShape="1">
          <a:gsLst>
            <a:gs pos="0">
              <a:schemeClr val="tx2">
                <a:lumMod val="25000"/>
                <a:lumOff val="75000"/>
                <a:shade val="30000"/>
                <a:satMod val="115000"/>
              </a:schemeClr>
            </a:gs>
            <a:gs pos="50000">
              <a:schemeClr val="tx2">
                <a:lumMod val="25000"/>
                <a:lumOff val="75000"/>
                <a:shade val="67500"/>
                <a:satMod val="115000"/>
              </a:schemeClr>
            </a:gs>
            <a:gs pos="100000">
              <a:schemeClr val="tx2">
                <a:lumMod val="25000"/>
                <a:lumOff val="75000"/>
                <a:shade val="100000"/>
                <a:satMod val="115000"/>
              </a:schemeClr>
            </a:gs>
          </a:gsLst>
          <a:lin ang="13500000" scaled="1"/>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228600</xdr:colOff>
      <xdr:row>1</xdr:row>
      <xdr:rowOff>53340</xdr:rowOff>
    </xdr:from>
    <xdr:to>
      <xdr:col>12</xdr:col>
      <xdr:colOff>342900</xdr:colOff>
      <xdr:row>22</xdr:row>
      <xdr:rowOff>137160</xdr:rowOff>
    </xdr:to>
    <xdr:graphicFrame macro="">
      <xdr:nvGraphicFramePr>
        <xdr:cNvPr id="2" name="Chart 1">
          <a:extLst>
            <a:ext uri="{FF2B5EF4-FFF2-40B4-BE49-F238E27FC236}">
              <a16:creationId xmlns:a16="http://schemas.microsoft.com/office/drawing/2014/main" id="{9A930562-1B48-4A97-A04A-2318E13E4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99060</xdr:colOff>
      <xdr:row>24</xdr:row>
      <xdr:rowOff>68580</xdr:rowOff>
    </xdr:from>
    <xdr:to>
      <xdr:col>12</xdr:col>
      <xdr:colOff>457200</xdr:colOff>
      <xdr:row>28</xdr:row>
      <xdr:rowOff>144780</xdr:rowOff>
    </xdr:to>
    <xdr:sp macro="" textlink="">
      <xdr:nvSpPr>
        <xdr:cNvPr id="6" name="Rectangle: Rounded Corners 5">
          <a:extLst>
            <a:ext uri="{FF2B5EF4-FFF2-40B4-BE49-F238E27FC236}">
              <a16:creationId xmlns:a16="http://schemas.microsoft.com/office/drawing/2014/main" id="{5F47E68B-C6C7-D44A-8D17-7E7F26B0654E}"/>
            </a:ext>
          </a:extLst>
        </xdr:cNvPr>
        <xdr:cNvSpPr/>
      </xdr:nvSpPr>
      <xdr:spPr>
        <a:xfrm>
          <a:off x="99060" y="4457700"/>
          <a:ext cx="7673340" cy="807720"/>
        </a:xfrm>
        <a:prstGeom prst="roundRect">
          <a:avLst/>
        </a:prstGeom>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latin typeface="Aptos Narrow" panose="020B0004020202020204" pitchFamily="34" charset="0"/>
            </a:rPr>
            <a:t>Show a daily trend with an area sparkline to spot patterns like busy days or seasonal trends.</a:t>
          </a:r>
        </a:p>
      </xdr:txBody>
    </xdr:sp>
    <xdr:clientData/>
  </xdr:twoCellAnchor>
  <xdr:twoCellAnchor>
    <xdr:from>
      <xdr:col>0</xdr:col>
      <xdr:colOff>289560</xdr:colOff>
      <xdr:row>1</xdr:row>
      <xdr:rowOff>114300</xdr:rowOff>
    </xdr:from>
    <xdr:to>
      <xdr:col>1</xdr:col>
      <xdr:colOff>320040</xdr:colOff>
      <xdr:row>4</xdr:row>
      <xdr:rowOff>15240</xdr:rowOff>
    </xdr:to>
    <xdr:sp macro="" textlink="">
      <xdr:nvSpPr>
        <xdr:cNvPr id="7" name="Rectangle: Rounded Corners 6">
          <a:extLst>
            <a:ext uri="{FF2B5EF4-FFF2-40B4-BE49-F238E27FC236}">
              <a16:creationId xmlns:a16="http://schemas.microsoft.com/office/drawing/2014/main" id="{6D2497A6-7CB9-8069-8D8E-7DEB6677567E}"/>
            </a:ext>
          </a:extLst>
        </xdr:cNvPr>
        <xdr:cNvSpPr/>
      </xdr:nvSpPr>
      <xdr:spPr>
        <a:xfrm>
          <a:off x="289560" y="297180"/>
          <a:ext cx="640080" cy="449580"/>
        </a:xfrm>
        <a:prstGeom prst="roundRect">
          <a:avLst/>
        </a:prstGeom>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373380</xdr:colOff>
      <xdr:row>1</xdr:row>
      <xdr:rowOff>114300</xdr:rowOff>
    </xdr:from>
    <xdr:to>
      <xdr:col>1</xdr:col>
      <xdr:colOff>213360</xdr:colOff>
      <xdr:row>3</xdr:row>
      <xdr:rowOff>167640</xdr:rowOff>
    </xdr:to>
    <xdr:pic>
      <xdr:nvPicPr>
        <xdr:cNvPr id="9" name="Graphic 8" descr="Home with solid fill">
          <a:hlinkClick xmlns:r="http://schemas.openxmlformats.org/officeDocument/2006/relationships" r:id="rId2"/>
          <a:extLst>
            <a:ext uri="{FF2B5EF4-FFF2-40B4-BE49-F238E27FC236}">
              <a16:creationId xmlns:a16="http://schemas.microsoft.com/office/drawing/2014/main" id="{4A45A752-052D-28E2-35D2-519E6A7C6CB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3380" y="297180"/>
          <a:ext cx="449580" cy="4191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106680</xdr:colOff>
      <xdr:row>0</xdr:row>
      <xdr:rowOff>60960</xdr:rowOff>
    </xdr:from>
    <xdr:to>
      <xdr:col>14</xdr:col>
      <xdr:colOff>441960</xdr:colOff>
      <xdr:row>26</xdr:row>
      <xdr:rowOff>22860</xdr:rowOff>
    </xdr:to>
    <xdr:sp macro="" textlink="">
      <xdr:nvSpPr>
        <xdr:cNvPr id="3" name="Rectangle: Rounded Corners 2">
          <a:extLst>
            <a:ext uri="{FF2B5EF4-FFF2-40B4-BE49-F238E27FC236}">
              <a16:creationId xmlns:a16="http://schemas.microsoft.com/office/drawing/2014/main" id="{C5092359-06FE-9D26-39FF-A7402EF07260}"/>
            </a:ext>
          </a:extLst>
        </xdr:cNvPr>
        <xdr:cNvSpPr/>
      </xdr:nvSpPr>
      <xdr:spPr>
        <a:xfrm>
          <a:off x="106680" y="60960"/>
          <a:ext cx="8869680" cy="4716780"/>
        </a:xfrm>
        <a:prstGeom prst="roundRect">
          <a:avLst>
            <a:gd name="adj" fmla="val 2698"/>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198120</xdr:colOff>
      <xdr:row>1</xdr:row>
      <xdr:rowOff>99060</xdr:rowOff>
    </xdr:from>
    <xdr:to>
      <xdr:col>14</xdr:col>
      <xdr:colOff>335280</xdr:colOff>
      <xdr:row>25</xdr:row>
      <xdr:rowOff>7620</xdr:rowOff>
    </xdr:to>
    <xdr:graphicFrame macro="">
      <xdr:nvGraphicFramePr>
        <xdr:cNvPr id="2" name="Chart 1">
          <a:extLst>
            <a:ext uri="{FF2B5EF4-FFF2-40B4-BE49-F238E27FC236}">
              <a16:creationId xmlns:a16="http://schemas.microsoft.com/office/drawing/2014/main" id="{DFB100A0-1B44-4519-B570-B34F58CD8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91440</xdr:colOff>
      <xdr:row>26</xdr:row>
      <xdr:rowOff>91440</xdr:rowOff>
    </xdr:from>
    <xdr:to>
      <xdr:col>14</xdr:col>
      <xdr:colOff>426720</xdr:colOff>
      <xdr:row>32</xdr:row>
      <xdr:rowOff>76200</xdr:rowOff>
    </xdr:to>
    <xdr:sp macro="" textlink="">
      <xdr:nvSpPr>
        <xdr:cNvPr id="6" name="Rectangle: Rounded Corners 5">
          <a:extLst>
            <a:ext uri="{FF2B5EF4-FFF2-40B4-BE49-F238E27FC236}">
              <a16:creationId xmlns:a16="http://schemas.microsoft.com/office/drawing/2014/main" id="{EFFA0F5D-6132-4B75-B769-1D2E7907A2ED}"/>
            </a:ext>
          </a:extLst>
        </xdr:cNvPr>
        <xdr:cNvSpPr/>
      </xdr:nvSpPr>
      <xdr:spPr>
        <a:xfrm>
          <a:off x="91440" y="4846320"/>
          <a:ext cx="8869680" cy="1082040"/>
        </a:xfrm>
        <a:prstGeom prst="roundRect">
          <a:avLst>
            <a:gd name="adj" fmla="val 7628"/>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228600</xdr:colOff>
      <xdr:row>27</xdr:row>
      <xdr:rowOff>144780</xdr:rowOff>
    </xdr:from>
    <xdr:to>
      <xdr:col>14</xdr:col>
      <xdr:colOff>342900</xdr:colOff>
      <xdr:row>31</xdr:row>
      <xdr:rowOff>0</xdr:rowOff>
    </xdr:to>
    <xdr:sp macro="" textlink="">
      <xdr:nvSpPr>
        <xdr:cNvPr id="5121" name="Text Box 1">
          <a:extLst>
            <a:ext uri="{FF2B5EF4-FFF2-40B4-BE49-F238E27FC236}">
              <a16:creationId xmlns:a16="http://schemas.microsoft.com/office/drawing/2014/main" id="{73332A88-3779-1A7E-F730-68C5901FF37C}"/>
            </a:ext>
          </a:extLst>
        </xdr:cNvPr>
        <xdr:cNvSpPr txBox="1">
          <a:spLocks noChangeArrowheads="1"/>
        </xdr:cNvSpPr>
      </xdr:nvSpPr>
      <xdr:spPr bwMode="auto">
        <a:xfrm>
          <a:off x="228600" y="5082540"/>
          <a:ext cx="8648700" cy="586740"/>
        </a:xfrm>
        <a:prstGeom prst="rect">
          <a:avLst/>
        </a:prstGeom>
        <a:noFill/>
        <a:ln w="9525">
          <a:noFill/>
          <a:miter lim="800000"/>
          <a:headEnd/>
          <a:tailEnd/>
        </a:ln>
      </xdr:spPr>
      <xdr:txBody>
        <a:bodyPr vertOverflow="clip" wrap="square" lIns="36576" tIns="32004" rIns="0" bIns="0" anchor="t" upright="1"/>
        <a:lstStyle/>
        <a:p>
          <a:pPr algn="ctr" rtl="0">
            <a:defRPr sz="1000"/>
          </a:pPr>
          <a:r>
            <a:rPr lang="en-IN" sz="1600" b="0" i="0" u="none" strike="noStrike" baseline="0">
              <a:solidFill>
                <a:srgbClr val="F0F8FD"/>
              </a:solidFill>
              <a:latin typeface="Aptos Narrow"/>
            </a:rPr>
            <a:t>Use an area sparkline to track daily changes and highlight days with longer wait times that might need improvements.</a:t>
          </a:r>
        </a:p>
      </xdr:txBody>
    </xdr:sp>
    <xdr:clientData/>
  </xdr:twoCellAnchor>
  <xdr:twoCellAnchor>
    <xdr:from>
      <xdr:col>0</xdr:col>
      <xdr:colOff>220980</xdr:colOff>
      <xdr:row>1</xdr:row>
      <xdr:rowOff>0</xdr:rowOff>
    </xdr:from>
    <xdr:to>
      <xdr:col>1</xdr:col>
      <xdr:colOff>251460</xdr:colOff>
      <xdr:row>3</xdr:row>
      <xdr:rowOff>83820</xdr:rowOff>
    </xdr:to>
    <xdr:sp macro="" textlink="">
      <xdr:nvSpPr>
        <xdr:cNvPr id="7" name="Rectangle: Rounded Corners 6">
          <a:extLst>
            <a:ext uri="{FF2B5EF4-FFF2-40B4-BE49-F238E27FC236}">
              <a16:creationId xmlns:a16="http://schemas.microsoft.com/office/drawing/2014/main" id="{25DBE190-979D-4DF4-9AAC-35C712D89575}"/>
            </a:ext>
          </a:extLst>
        </xdr:cNvPr>
        <xdr:cNvSpPr/>
      </xdr:nvSpPr>
      <xdr:spPr>
        <a:xfrm>
          <a:off x="220980" y="182880"/>
          <a:ext cx="640080" cy="449580"/>
        </a:xfrm>
        <a:prstGeom prst="roundRect">
          <a:avLst/>
        </a:prstGeom>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220980</xdr:colOff>
      <xdr:row>1</xdr:row>
      <xdr:rowOff>0</xdr:rowOff>
    </xdr:from>
    <xdr:to>
      <xdr:col>1</xdr:col>
      <xdr:colOff>137160</xdr:colOff>
      <xdr:row>3</xdr:row>
      <xdr:rowOff>68580</xdr:rowOff>
    </xdr:to>
    <xdr:pic>
      <xdr:nvPicPr>
        <xdr:cNvPr id="8" name="Graphic 7" descr="Home with solid fill">
          <a:hlinkClick xmlns:r="http://schemas.openxmlformats.org/officeDocument/2006/relationships" r:id="rId2"/>
          <a:extLst>
            <a:ext uri="{FF2B5EF4-FFF2-40B4-BE49-F238E27FC236}">
              <a16:creationId xmlns:a16="http://schemas.microsoft.com/office/drawing/2014/main" id="{E5565A22-8BE3-44F1-AD0D-59E7B97EC88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0980" y="182880"/>
          <a:ext cx="525780" cy="4343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106680</xdr:colOff>
      <xdr:row>0</xdr:row>
      <xdr:rowOff>60960</xdr:rowOff>
    </xdr:from>
    <xdr:to>
      <xdr:col>14</xdr:col>
      <xdr:colOff>441960</xdr:colOff>
      <xdr:row>26</xdr:row>
      <xdr:rowOff>22860</xdr:rowOff>
    </xdr:to>
    <xdr:sp macro="" textlink="">
      <xdr:nvSpPr>
        <xdr:cNvPr id="2" name="Rectangle: Rounded Corners 1">
          <a:extLst>
            <a:ext uri="{FF2B5EF4-FFF2-40B4-BE49-F238E27FC236}">
              <a16:creationId xmlns:a16="http://schemas.microsoft.com/office/drawing/2014/main" id="{071D11DD-8D33-4D25-9C57-A2EC2D266688}"/>
            </a:ext>
          </a:extLst>
        </xdr:cNvPr>
        <xdr:cNvSpPr/>
      </xdr:nvSpPr>
      <xdr:spPr>
        <a:xfrm>
          <a:off x="106680" y="60960"/>
          <a:ext cx="8869680" cy="4716780"/>
        </a:xfrm>
        <a:prstGeom prst="roundRect">
          <a:avLst>
            <a:gd name="adj" fmla="val 2698"/>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26</xdr:row>
      <xdr:rowOff>91440</xdr:rowOff>
    </xdr:from>
    <xdr:to>
      <xdr:col>14</xdr:col>
      <xdr:colOff>426720</xdr:colOff>
      <xdr:row>32</xdr:row>
      <xdr:rowOff>76200</xdr:rowOff>
    </xdr:to>
    <xdr:sp macro="" textlink="">
      <xdr:nvSpPr>
        <xdr:cNvPr id="4" name="Rectangle: Rounded Corners 3">
          <a:extLst>
            <a:ext uri="{FF2B5EF4-FFF2-40B4-BE49-F238E27FC236}">
              <a16:creationId xmlns:a16="http://schemas.microsoft.com/office/drawing/2014/main" id="{1EF6E094-85EE-4A23-9748-0998E274C58B}"/>
            </a:ext>
          </a:extLst>
        </xdr:cNvPr>
        <xdr:cNvSpPr/>
      </xdr:nvSpPr>
      <xdr:spPr>
        <a:xfrm>
          <a:off x="91440" y="4846320"/>
          <a:ext cx="8869680" cy="1082040"/>
        </a:xfrm>
        <a:prstGeom prst="roundRect">
          <a:avLst>
            <a:gd name="adj" fmla="val 7628"/>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228600</xdr:colOff>
      <xdr:row>27</xdr:row>
      <xdr:rowOff>144780</xdr:rowOff>
    </xdr:from>
    <xdr:to>
      <xdr:col>14</xdr:col>
      <xdr:colOff>342900</xdr:colOff>
      <xdr:row>31</xdr:row>
      <xdr:rowOff>0</xdr:rowOff>
    </xdr:to>
    <xdr:sp macro="" textlink="">
      <xdr:nvSpPr>
        <xdr:cNvPr id="5" name="Text Box 1">
          <a:extLst>
            <a:ext uri="{FF2B5EF4-FFF2-40B4-BE49-F238E27FC236}">
              <a16:creationId xmlns:a16="http://schemas.microsoft.com/office/drawing/2014/main" id="{1B627B32-9F56-44A1-9154-6DFEC22AD3B4}"/>
            </a:ext>
          </a:extLst>
        </xdr:cNvPr>
        <xdr:cNvSpPr txBox="1">
          <a:spLocks noChangeArrowheads="1"/>
        </xdr:cNvSpPr>
      </xdr:nvSpPr>
      <xdr:spPr bwMode="auto">
        <a:xfrm>
          <a:off x="228600" y="5082540"/>
          <a:ext cx="8648700" cy="586740"/>
        </a:xfrm>
        <a:prstGeom prst="rect">
          <a:avLst/>
        </a:prstGeom>
        <a:noFill/>
        <a:ln w="9525">
          <a:noFill/>
          <a:miter lim="800000"/>
          <a:headEnd/>
          <a:tailEnd/>
        </a:ln>
      </xdr:spPr>
      <xdr:txBody>
        <a:bodyPr vertOverflow="clip" wrap="square" lIns="36576" tIns="32004" rIns="0" bIns="0" anchor="t" upright="1"/>
        <a:lstStyle/>
        <a:p>
          <a:pPr algn="ctr" rtl="0">
            <a:defRPr sz="1000"/>
          </a:pPr>
          <a:r>
            <a:rPr lang="en-IN" sz="1600" b="0" i="0" u="none" strike="noStrike" baseline="0">
              <a:solidFill>
                <a:srgbClr val="F0F8FD"/>
              </a:solidFill>
              <a:latin typeface="Aptos Narrow"/>
            </a:rPr>
            <a:t>Use an area chart to show trends ,spot drops in satisfation ,and like them to busy time or challenges</a:t>
          </a:r>
        </a:p>
      </xdr:txBody>
    </xdr:sp>
    <xdr:clientData/>
  </xdr:twoCellAnchor>
  <xdr:twoCellAnchor>
    <xdr:from>
      <xdr:col>0</xdr:col>
      <xdr:colOff>220980</xdr:colOff>
      <xdr:row>1</xdr:row>
      <xdr:rowOff>0</xdr:rowOff>
    </xdr:from>
    <xdr:to>
      <xdr:col>1</xdr:col>
      <xdr:colOff>251460</xdr:colOff>
      <xdr:row>3</xdr:row>
      <xdr:rowOff>83820</xdr:rowOff>
    </xdr:to>
    <xdr:sp macro="" textlink="">
      <xdr:nvSpPr>
        <xdr:cNvPr id="6" name="Rectangle: Rounded Corners 5">
          <a:extLst>
            <a:ext uri="{FF2B5EF4-FFF2-40B4-BE49-F238E27FC236}">
              <a16:creationId xmlns:a16="http://schemas.microsoft.com/office/drawing/2014/main" id="{9857B150-6601-4BD6-B422-5A1B95FF1404}"/>
            </a:ext>
          </a:extLst>
        </xdr:cNvPr>
        <xdr:cNvSpPr/>
      </xdr:nvSpPr>
      <xdr:spPr>
        <a:xfrm>
          <a:off x="220980" y="182880"/>
          <a:ext cx="640080" cy="449580"/>
        </a:xfrm>
        <a:prstGeom prst="roundRect">
          <a:avLst/>
        </a:prstGeom>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220980</xdr:colOff>
      <xdr:row>1</xdr:row>
      <xdr:rowOff>0</xdr:rowOff>
    </xdr:from>
    <xdr:to>
      <xdr:col>1</xdr:col>
      <xdr:colOff>137160</xdr:colOff>
      <xdr:row>3</xdr:row>
      <xdr:rowOff>68580</xdr:rowOff>
    </xdr:to>
    <xdr:pic>
      <xdr:nvPicPr>
        <xdr:cNvPr id="7" name="Graphic 6" descr="Home with solid fill">
          <a:hlinkClick xmlns:r="http://schemas.openxmlformats.org/officeDocument/2006/relationships" r:id="rId1"/>
          <a:extLst>
            <a:ext uri="{FF2B5EF4-FFF2-40B4-BE49-F238E27FC236}">
              <a16:creationId xmlns:a16="http://schemas.microsoft.com/office/drawing/2014/main" id="{3D1698EA-1F4F-418B-A1E3-C48680D44DC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0980" y="182880"/>
          <a:ext cx="525780" cy="434340"/>
        </a:xfrm>
        <a:prstGeom prst="rect">
          <a:avLst/>
        </a:prstGeom>
      </xdr:spPr>
    </xdr:pic>
    <xdr:clientData/>
  </xdr:twoCellAnchor>
  <xdr:twoCellAnchor>
    <xdr:from>
      <xdr:col>0</xdr:col>
      <xdr:colOff>220980</xdr:colOff>
      <xdr:row>3</xdr:row>
      <xdr:rowOff>144780</xdr:rowOff>
    </xdr:from>
    <xdr:to>
      <xdr:col>14</xdr:col>
      <xdr:colOff>220981</xdr:colOff>
      <xdr:row>24</xdr:row>
      <xdr:rowOff>167640</xdr:rowOff>
    </xdr:to>
    <xdr:graphicFrame macro="">
      <xdr:nvGraphicFramePr>
        <xdr:cNvPr id="8" name="Chart 7">
          <a:extLst>
            <a:ext uri="{FF2B5EF4-FFF2-40B4-BE49-F238E27FC236}">
              <a16:creationId xmlns:a16="http://schemas.microsoft.com/office/drawing/2014/main" id="{016F1A4A-19A1-432E-B686-4F9A43E27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ky Singh" refreshedDate="46115.930237731482" createdVersion="5" refreshedVersion="8" minRefreshableVersion="3" recordCount="0" supportSubquery="1" supportAdvancedDrill="1" xr:uid="{A074EEC0-639D-4F7F-902C-EE1D28AA326F}">
  <cacheSource type="external" connectionId="3"/>
  <cacheFields count="4">
    <cacheField name="[Measures].[Distinct Count of Patient Id]" caption="Distinct Count of Patient Id" numFmtId="0" hierarchy="24" level="32767"/>
    <cacheField name="[Calendar Table].[Date (Day)].[Date (Day)]" caption="Date (Day)" numFmtId="0" hierarchy="2" level="1">
      <sharedItems count="31">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1"/>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ky Singh" refreshedDate="46115.930238078705" createdVersion="5" refreshedVersion="8" minRefreshableVersion="3" recordCount="0" supportSubquery="1" supportAdvancedDrill="1" xr:uid="{2BBDC415-CF8F-4B8D-89BF-868378065BE7}">
  <cacheSource type="external" connectionId="3"/>
  <cacheFields count="3">
    <cacheField name="[Measures].[Distinct Count of Patient Id]" caption="Distinct Count of Patient Id" numFmtId="0" hierarchy="24"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ky Singh" refreshedDate="46115.930238194444" createdVersion="5" refreshedVersion="8" minRefreshableVersion="3" recordCount="0" supportSubquery="1" supportAdvancedDrill="1" xr:uid="{27CB184D-58D3-4528-831E-010D0A19BFC1}">
  <cacheSource type="external" connectionId="3"/>
  <cacheFields count="3">
    <cacheField name="[Measures].[Average of Patient Waittime]" caption="Average of Patient Waittime" numFmtId="0" hierarchy="26"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ky Singh" refreshedDate="46115.930238541667" createdVersion="5" refreshedVersion="8" minRefreshableVersion="3" recordCount="0" supportSubquery="1" supportAdvancedDrill="1" xr:uid="{1A0663AC-A297-4771-81F0-5F67EE6A8F18}">
  <cacheSource type="external" connectionId="3"/>
  <cacheFields count="3">
    <cacheField name="[Measures].[Average of Patient Satisfaction Score]" caption="Average of Patient Satisfaction Score" numFmtId="0" hierarchy="28"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ky Singh" refreshedDate="46115.930239120367" createdVersion="5" refreshedVersion="8" minRefreshableVersion="3" recordCount="0" supportSubquery="1" supportAdvancedDrill="1" xr:uid="{C7FF3E51-0F8D-46C9-B702-F5D8F82CF3EC}">
  <cacheSource type="external" connectionId="3"/>
  <cacheFields count="4">
    <cacheField name="[Calendar Table].[Date (Day)].[Date (Day)]" caption="Date (Day)" numFmtId="0" hierarchy="2" level="1">
      <sharedItems count="31">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ar 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ky Singh" refreshedDate="46115.930239699075" createdVersion="5" refreshedVersion="8" minRefreshableVersion="3" recordCount="0" supportSubquery="1" supportAdvancedDrill="1" xr:uid="{0E049EEA-7BE2-48FB-BCD4-8A4B832996A0}">
  <cacheSource type="external" connectionId="3"/>
  <cacheFields count="4">
    <cacheField name="[Calendar Table].[Date (Day)].[Date (Day)]" caption="Date (Day)" numFmtId="0" hierarchy="2" level="1">
      <sharedItems count="29">
        <s v="1-Dec"/>
        <s v="2-Dec"/>
        <s v="3-Dec"/>
        <s v="4-Dec"/>
        <s v="5-Dec"/>
        <s v="6-Dec"/>
        <s v="8-Dec"/>
        <s v="9-Dec"/>
        <s v="10-Dec"/>
        <s v="11-Dec"/>
        <s v="12-Dec"/>
        <s v="13-Dec"/>
        <s v="14-Dec"/>
        <s v="15-Dec"/>
        <s v="16-Dec"/>
        <s v="17-Dec"/>
        <s v="18-Dec"/>
        <s v="19-Dec"/>
        <s v="20-Dec"/>
        <s v="21-Dec"/>
        <s v="22-Dec"/>
        <s v="23-Dec"/>
        <s v="24-Dec"/>
        <s v="25-Dec"/>
        <s v="26-Dec"/>
        <s v="27-Dec"/>
        <s v="28-Dec"/>
        <s v="29-Dec"/>
        <s v="30-Dec"/>
      </sharedItems>
    </cacheField>
    <cacheField name="[Calenda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ky Singh" refreshedDate="46115.930240277776" createdVersion="5" refreshedVersion="8" minRefreshableVersion="3" recordCount="0" supportSubquery="1" supportAdvancedDrill="1" xr:uid="{60046AA4-96A4-41EA-A487-DFD94FC435E7}">
  <cacheSource type="external" connectionId="3"/>
  <cacheFields count="5">
    <cacheField name="[Calendar 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ar 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ky Singh" refreshedDate="46115.930241087961" createdVersion="5" refreshedVersion="8" minRefreshableVersion="3" recordCount="0" supportSubquery="1" supportAdvancedDrill="1" xr:uid="{5B79BFA4-1C40-4300-81FB-C807FACD6BEC}">
  <cacheSource type="external" connectionId="3"/>
  <cacheFields count="4">
    <cacheField name="[Calendar 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ky Singh" refreshedDate="46115.930242013892" createdVersion="5" refreshedVersion="8" minRefreshableVersion="3" recordCount="0" supportSubquery="1" supportAdvancedDrill="1" xr:uid="{B37CAD51-204F-4F01-8990-F89768C1B446}">
  <cacheSource type="external" connectionId="3"/>
  <cacheFields count="4">
    <cacheField name="[Calendar 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time"/>
      </sharedItems>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ky Singh" refreshedDate="46115.930243055554" createdVersion="5" refreshedVersion="8" minRefreshableVersion="3" recordCount="0" supportSubquery="1" supportAdvancedDrill="1" xr:uid="{D46DBAB5-40EF-4B68-A938-B332237ED4D8}">
  <cacheSource type="external" connectionId="3"/>
  <cacheFields count="4">
    <cacheField name="[Calendar 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ky Singh" refreshedDate="46115.930243981478" createdVersion="5" refreshedVersion="8" minRefreshableVersion="3" recordCount="0" supportSubquery="1" supportAdvancedDrill="1" xr:uid="{06CCC597-031D-4600-81DA-A6D4ADC81BAD}">
  <cacheSource type="external" connectionId="3"/>
  <cacheFields count="4">
    <cacheField name="[Calendar 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ky Singh" refreshedDate="46115.930244907409" createdVersion="5" refreshedVersion="8" minRefreshableVersion="3" recordCount="0" supportSubquery="1" supportAdvancedDrill="1" xr:uid="{428DE92C-B85B-44B4-AE74-47383643603E}">
  <cacheSource type="external" connectionId="3"/>
  <cacheFields count="4">
    <cacheField name="[Calendar Table].[Date (Month)].[Date (Month)]" caption="Date (Month)" numFmtId="0" hierarchy="1" level="1">
      <sharedItems count="1">
        <s v="Mar"/>
      </sharedItems>
    </cacheField>
    <cacheField name="[Calendar Table].[Date].[Date]" caption="Date" numFmtId="0" level="1">
      <sharedItems containsSemiMixedTypes="0" containsNonDate="0" containsDate="1" containsString="0" minDate="2023-03-01T00:00:00" maxDate="2024-04-01T00:00:00" count="62">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Calendar Table].[Date (Quarter)].[Date (Quarter)]" caption="Date (Quarter)" numFmtId="0" hierarchy="4" level="1">
      <sharedItems count="1">
        <s v="Qtr1"/>
      </sharedItems>
    </cacheField>
    <cacheField name="[Calendar Table].[Date (Year)].[Date (Year)]" caption="Date (Year)" numFmtId="0" hierarchy="3" level="1">
      <sharedItems count="1">
        <s v="2023"/>
      </sharedItems>
    </cacheField>
  </cacheFields>
  <cacheHierarchies count="34">
    <cacheHierarchy uniqueName="[Calendar Table].[Date]" caption="Date" attribute="1" time="1" defaultMemberUniqueName="[Calendar Table].[Date].[All]" allUniqueName="[Calendar Table].[Date].[All]" dimensionUniqueName="[Calendar Table]" displayFolder="" count="2" memberValueDatatype="7" unbalanced="0">
      <fieldsUsage count="2">
        <fieldUsage x="-1"/>
        <fieldUsage x="1"/>
      </fieldsUsage>
    </cacheHierarchy>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 Table].[Date (Day Index)]" caption="Date (Day Index)" attribute="1" defaultMemberUniqueName="[Calendar Table].[Date (Day Index)].[All]" allUniqueName="[Calendar Table].[Date (Day Index)].[All]" dimensionUniqueName="[Calendar Table]" displayFolder="" count="2"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ky Singh" refreshedDate="46115.930245949072" createdVersion="5" refreshedVersion="8" minRefreshableVersion="3" recordCount="0" supportSubquery="1" supportAdvancedDrill="1" xr:uid="{07442DFA-BB3B-4355-82C8-8868AB794A01}">
  <cacheSource type="external" connectionId="3"/>
  <cacheFields count="4">
    <cacheField name="[Measures].[Distinct Count of Patient Id]" caption="Distinct Count of Patient Id" numFmtId="0" hierarchy="24" level="32767"/>
    <cacheField name="[Calendar Table].[Date (Day)].[Date (Day)]" caption="Date (Day)" numFmtId="0" hierarchy="2" level="1">
      <sharedItems count="31">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1"/>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ky Singh" refreshedDate="46111.988845486114" createdVersion="3" refreshedVersion="8" minRefreshableVersion="3" recordCount="0" supportSubquery="1" supportAdvancedDrill="1" xr:uid="{B7A731C5-E63A-48BF-A71F-080CDE342031}">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11167236"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ky Singh" refreshedDate="46111.991752430557" createdVersion="3" refreshedVersion="8" minRefreshableVersion="3" recordCount="0" supportSubquery="1" supportAdvancedDrill="1" xr:uid="{4C3C193D-A740-4A62-82E1-37C6BDCEEA46}">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0" memberValueDatatype="130" unbalanced="0"/>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1251444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56F721-F53A-4449-9985-8C27CEE10259}" name="PivotTable7" cacheId="6" applyNumberFormats="0" applyBorderFormats="0" applyFontFormats="0" applyPatternFormats="0" applyAlignmentFormats="0" applyWidthHeightFormats="1" dataCaption="Values" tag="5e1b1fcb-40ec-4ef0-ad2d-90e36f483e32" updatedVersion="8" minRefreshableVersion="3" useAutoFormatting="1" subtotalHiddenItems="1" itemPrintTitles="1" createdVersion="5" indent="0" outline="1" outlineData="1" multipleFieldFilters="0" chartFormat="3">
  <location ref="A37:C40"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
      <pivotArea outline="0" collapsedLevelsAreSubtotals="1" fieldPosition="0"/>
    </format>
    <format dxfId="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 Table].[Date (Month)].&amp;[Dec]"/>
      </members>
    </pivotHierarchy>
    <pivotHierarchy dragToData="1"/>
    <pivotHierarchy multipleItemSelectionAllowed="1" dragToData="1">
      <members count="1" level="1">
        <member name="[Calenda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07E4A5-AAAB-48C4-A0CB-A7F3E958EED9}" name="PivotTable10" cacheId="9" applyNumberFormats="0" applyBorderFormats="0" applyFontFormats="0" applyPatternFormats="0" applyAlignmentFormats="0" applyWidthHeightFormats="1" dataCaption="Values" tag="1be0c47b-49d7-4eb6-87f2-e5204900ec9a" updatedVersion="8" minRefreshableVersion="3" useAutoFormatting="1" subtotalHiddenItems="1" itemPrintTitles="1" createdVersion="5" indent="0" outline="1" outlineData="1" multipleFieldFilters="0" chartFormat="15">
  <location ref="A69:B7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
      <pivotArea outline="0" collapsedLevelsAreSubtotals="1" fieldPosition="0"/>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 Table].[Date (Month)].&amp;[Dec]"/>
      </members>
    </pivotHierarchy>
    <pivotHierarchy dragToData="1"/>
    <pivotHierarchy multipleItemSelectionAllowed="1" dragToData="1">
      <members count="1" level="1">
        <member name="[Calenda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476987-8450-4F78-B028-53FF876AA2BA}" name="PivotTable11" cacheId="10" applyNumberFormats="0" applyBorderFormats="0" applyFontFormats="0" applyPatternFormats="0" applyAlignmentFormats="0" applyWidthHeightFormats="1" dataCaption="Values" tag="253f8e38-8fe6-4ce3-a906-fa8049a95ff8" updatedVersion="8" minRefreshableVersion="3" useAutoFormatting="1" subtotalHiddenItems="1" itemPrintTitles="1" createdVersion="5" indent="0" outline="1" outlineData="1" multipleFieldFilters="0" chartFormat="18">
  <location ref="A75:B8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v="6"/>
    </i>
    <i>
      <x/>
    </i>
    <i>
      <x v="5"/>
    </i>
    <i>
      <x v="2"/>
    </i>
    <i>
      <x v="4"/>
    </i>
    <i t="grand">
      <x/>
    </i>
  </rowItems>
  <colItems count="1">
    <i/>
  </colItems>
  <dataFields count="1">
    <dataField name="Count of Department Referral" fld="2" subtotal="count" baseField="0" baseItem="0"/>
  </dataFields>
  <formats count="1">
    <format dxfId="3">
      <pivotArea outline="0" collapsedLevelsAreSubtotals="1" fieldPosition="0"/>
    </format>
  </formats>
  <chartFormats count="1">
    <chartFormat chart="1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Dec]"/>
      </members>
    </pivotHierarchy>
    <pivotHierarchy dragToData="1"/>
    <pivotHierarchy multipleItemSelectionAllowed="1" dragToData="1">
      <members count="1" level="1">
        <member name="[Calenda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DA36C9-4155-4E60-BBED-032E64381BC6}" name="PivotTable4" cacheId="0" applyNumberFormats="0" applyBorderFormats="0" applyFontFormats="0" applyPatternFormats="0" applyAlignmentFormats="0" applyWidthHeightFormats="1" dataCaption="Values" tag="eba4564e-e5a6-4734-9b11-167a783f374c" updatedVersion="8" minRefreshableVersion="3" subtotalHiddenItems="1" itemPrintTitles="1" createdVersion="5" indent="0" outline="1" outlineData="1" multipleFieldFilters="0" chartFormat="26">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1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Dec]"/>
      </members>
    </pivotHierarchy>
    <pivotHierarchy dragToData="1"/>
    <pivotHierarchy multipleItemSelectionAllowed="1" dragToData="1">
      <members count="1" level="1">
        <member name="[Calenda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7012BA-15AD-4D29-B38A-53AF7056B5B3}" name="PivotTable9" cacheId="8" applyNumberFormats="0" applyBorderFormats="0" applyFontFormats="0" applyPatternFormats="0" applyAlignmentFormats="0" applyWidthHeightFormats="1" dataCaption="Values" tag="47fc6e55-2f79-4e9a-97bd-960fe302cc8a" updatedVersion="8" minRefreshableVersion="3" useAutoFormatting="1" subtotalHiddenItems="1" itemPrintTitles="1" createdVersion="5" indent="0" outline="1" outlineData="1" multipleFieldFilters="0" chartFormat="11">
  <location ref="A63:B6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1">
    <format dxfId="4">
      <pivotArea outline="0" collapsedLevelsAreSubtotals="1" fieldPosition="0"/>
    </format>
  </format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 count="1" selected="0">
            <x v="0"/>
          </reference>
        </references>
      </pivotArea>
    </chartFormat>
    <chartFormat chart="9"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 Table].[Date (Month)].&amp;[Dec]"/>
      </members>
    </pivotHierarchy>
    <pivotHierarchy dragToData="1"/>
    <pivotHierarchy multipleItemSelectionAllowed="1" dragToData="1">
      <members count="1" level="1">
        <member name="[Calenda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33C500-2439-4083-B94F-FD55975DC412}" name="PivotTable13" cacheId="12" applyNumberFormats="0" applyBorderFormats="0" applyFontFormats="0" applyPatternFormats="0" applyAlignmentFormats="0" applyWidthHeightFormats="1" dataCaption="Values" tag="eba4564e-e5a6-4734-9b11-167a783f374c" updatedVersion="8" minRefreshableVersion="3" subtotalHiddenItems="1" itemPrintTitles="1" createdVersion="5" indent="0" outline="1" outlineData="1" multipleFieldFilters="0" chartFormat="52">
  <location ref="D52:E84"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3" format="1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Dec]"/>
      </members>
    </pivotHierarchy>
    <pivotHierarchy dragToData="1"/>
    <pivotHierarchy multipleItemSelectionAllowed="1" dragToData="1">
      <members count="1" level="1">
        <member name="[Calenda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B99433-CD35-41AF-A84D-BCCA5ECB24DB}" name="PivotTable2" cacheId="2" applyNumberFormats="0" applyBorderFormats="0" applyFontFormats="0" applyPatternFormats="0" applyAlignmentFormats="0" applyWidthHeightFormats="1" dataCaption="Values" tag="ad6a8800-4278-468f-bfec-099267ceea67"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
      <pivotArea outline="0" collapsedLevelsAreSubtotals="1" fieldPosition="0"/>
    </format>
  </formats>
  <pivotHierarchies count="34">
    <pivotHierarchy dragToData="1"/>
    <pivotHierarchy multipleItemSelectionAllowed="1" dragToData="1">
      <members count="1" level="1">
        <member name="[Calendar Table].[Date (Month)].&amp;[Dec]"/>
      </members>
    </pivotHierarchy>
    <pivotHierarchy dragToData="1"/>
    <pivotHierarchy multipleItemSelectionAllowed="1" dragToData="1">
      <members count="1" level="1">
        <member name="[Calenda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08E0E9-04A8-4103-B7CE-A15CF18F0F64}" name="PivotTable8" cacheId="7" applyNumberFormats="0" applyBorderFormats="0" applyFontFormats="0" applyPatternFormats="0" applyAlignmentFormats="0" applyWidthHeightFormats="1" dataCaption="Values" tag="6466019c-22bc-4972-a1a9-397d95cd4761" updatedVersion="8" minRefreshableVersion="3" useAutoFormatting="1" subtotalHiddenItems="1" itemPrintTitles="1" createdVersion="5" indent="0" outline="1" outlineData="1" multipleFieldFilters="0" chartFormat="6">
  <location ref="A52:B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6">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Dec]"/>
      </members>
    </pivotHierarchy>
    <pivotHierarchy dragToData="1"/>
    <pivotHierarchy multipleItemSelectionAllowed="1" dragToData="1">
      <members count="1" level="1">
        <member name="[Calenda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FE9470-D60F-4548-BD75-28917FDD927B}" name="PivotTable12" cacheId="11" applyNumberFormats="0" applyBorderFormats="0" applyFontFormats="0" applyPatternFormats="0" applyAlignmentFormats="0" applyWidthHeightFormats="1" dataCaption="Values" tag="f2076d0f-8ddb-41fc-ba14-d2d82237dcba" updatedVersion="8" minRefreshableVersion="3" useAutoFormatting="1" subtotalHiddenItems="1" itemPrintTitles="1" createdVersion="5" indent="0" outline="1" outlineData="1" multipleFieldFilters="0" chartFormat="18">
  <location ref="A87:A89"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7">
      <pivotArea outline="0" collapsedLevelsAreSubtotals="1" fieldPosition="0"/>
    </format>
  </formats>
  <pivotHierarchies count="34">
    <pivotHierarchy dragToData="1"/>
    <pivotHierarchy multipleItemSelectionAllowed="1" dragToData="1">
      <members count="1" level="1">
        <member name="[Calendar Table].[Date (Month)].&amp;[Dec]"/>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D017E5-67D0-4A5C-A33D-87B5CE984660}" name="PivotTable6" cacheId="5" applyNumberFormats="0" applyBorderFormats="0" applyFontFormats="0" applyPatternFormats="0" applyAlignmentFormats="0" applyWidthHeightFormats="1" dataCaption="Values" tag="a5a4cf04-f654-480d-b58a-a45c0a9a5e10" updatedVersion="8" minRefreshableVersion="3" subtotalHiddenItems="1" itemPrintTitles="1" createdVersion="5" indent="0" outline="1" outlineData="1" multipleFieldFilters="0" chartFormat="39">
  <location ref="L4:M34"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Satisfaction Score" fld="2" subtotal="average" baseField="0" baseItem="0"/>
  </dataFields>
  <formats count="1">
    <format dxfId="8">
      <pivotArea outline="0" collapsedLevelsAreSubtotals="1" fieldPosition="0"/>
    </format>
  </formats>
  <pivotHierarchies count="34">
    <pivotHierarchy dragToData="1"/>
    <pivotHierarchy multipleItemSelectionAllowed="1" dragToData="1">
      <members count="1" level="1">
        <member name="[Calendar Table].[Date (Month)].&amp;[Dec]"/>
      </members>
    </pivotHierarchy>
    <pivotHierarchy dragToData="1"/>
    <pivotHierarchy multipleItemSelectionAllowed="1" dragToData="1">
      <members count="1" level="1">
        <member name="[Calenda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538B37-70E8-4EBB-941F-2F8E74B70363}" name="PivotTable1" cacheId="1" applyNumberFormats="0" applyBorderFormats="0" applyFontFormats="0" applyPatternFormats="0" applyAlignmentFormats="0" applyWidthHeightFormats="1" dataCaption="Values" tag="21bdcb2c-6c38-4616-b713-a1b63c2a5cca"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 Table].[Date (Month)].&amp;[Dec]"/>
      </members>
    </pivotHierarchy>
    <pivotHierarchy dragToData="1"/>
    <pivotHierarchy multipleItemSelectionAllowed="1" dragToData="1">
      <members count="1" level="1">
        <member name="[Calenda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9BB1F15-C809-4E31-A224-3CD1C9A85CBE}" name="PivotTable3" cacheId="3" applyNumberFormats="0" applyBorderFormats="0" applyFontFormats="0" applyPatternFormats="0" applyAlignmentFormats="0" applyWidthHeightFormats="1" dataCaption="Values" tag="f915b8b8-2cb2-44c5-aa37-2f035fb3fae0"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9">
      <pivotArea outline="0" collapsedLevelsAreSubtotals="1" fieldPosition="0"/>
    </format>
  </formats>
  <pivotHierarchies count="34">
    <pivotHierarchy dragToData="1"/>
    <pivotHierarchy multipleItemSelectionAllowed="1" dragToData="1">
      <members count="1" level="1">
        <member name="[Calendar Table].[Date (Month)].&amp;[Dec]"/>
      </members>
    </pivotHierarchy>
    <pivotHierarchy dragToData="1"/>
    <pivotHierarchy multipleItemSelectionAllowed="1" dragToData="1">
      <members count="1" level="1">
        <member name="[Calenda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40CBC67-B8FA-48E8-97E7-60450E5212DA}" name="PivotTable5" cacheId="4" applyNumberFormats="0" applyBorderFormats="0" applyFontFormats="0" applyPatternFormats="0" applyAlignmentFormats="0" applyWidthHeightFormats="1" dataCaption="Values" tag="b1986779-ffc1-4cdc-917e-2187d3feab3e" updatedVersion="8" minRefreshableVersion="3" subtotalHiddenItems="1" itemPrintTitles="1" createdVersion="5" indent="0" outline="1" outlineData="1" multipleFieldFilters="0" chartFormat="45">
  <location ref="H4:I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10">
      <pivotArea outline="0" collapsedLevelsAreSubtotals="1" fieldPosition="0"/>
    </format>
  </formats>
  <chartFormats count="4">
    <chartFormat chart="25"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Dec]"/>
      </members>
    </pivotHierarchy>
    <pivotHierarchy dragToData="1"/>
    <pivotHierarchy multipleItemSelectionAllowed="1" dragToData="1">
      <members count="1" level="1">
        <member name="[Calenda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DABA1D3-4B5F-48EE-B2C7-E1E37617DC4F}" sourceName="[Calendar 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s>
  <data>
    <olap pivotCacheId="1511167236">
      <levels count="2">
        <level uniqueName="[Calendar Table].[Date (Month)].[(All)]" sourceCaption="(All)" count="0"/>
        <level uniqueName="[Calendar Table].[Date (Month)].[Date (Month)]" sourceCaption="Date (Month)" count="12">
          <ranges>
            <range startItem="0">
              <i n="[Calendar Table].[Date (Month)].&amp;[Apr]" c="Apr"/>
              <i n="[Calendar Table].[Date (Month)].&amp;[May]" c="May"/>
              <i n="[Calendar Table].[Date (Month)].&amp;[Jun]" c="Jun"/>
              <i n="[Calendar Table].[Date (Month)].&amp;[Jul]" c="Jul"/>
              <i n="[Calendar Table].[Date (Month)].&amp;[Aug]" c="Aug"/>
              <i n="[Calendar Table].[Date (Month)].&amp;[Sep]" c="Sep"/>
              <i n="[Calendar Table].[Date (Month)].&amp;[Oct]" c="Oct"/>
              <i n="[Calendar Table].[Date (Month)].&amp;[Nov]" c="Nov"/>
              <i n="[Calendar Table].[Date (Month)].&amp;[Dec]" c="Dec"/>
              <i n="[Calendar Table].[Date (Month)].&amp;[Jan]" c="Jan"/>
              <i n="[Calendar Table].[Date (Month)].&amp;[Feb]" c="Feb"/>
              <i n="[Calendar Table].[Date (Month)].&amp;[Mar]" c="Mar"/>
            </range>
          </ranges>
        </level>
      </levels>
      <selections count="1">
        <selection n="[Calendar Table].[Date (Month)].&amp;[Dec]"/>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39B42083-1EE9-4A06-BE42-10FD5806D30F}" sourceName="[Calendar 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3"/>
  </pivotTables>
  <data>
    <olap pivotCacheId="2125144413">
      <levels count="2">
        <level uniqueName="[Calendar Table].[Date (Year)].[(All)]" sourceCaption="(All)" count="0"/>
        <level uniqueName="[Calendar Table].[Date (Year)].[Date (Year)]" sourceCaption="Date (Year)" count="2">
          <ranges>
            <range startItem="0">
              <i n="[Calendar Table].[Date (Year)].&amp;[2023]" c="2023"/>
              <i n="[Calendar Table].[Date (Year)].&amp;[2024]" c="2024"/>
            </range>
          </ranges>
        </level>
      </levels>
      <selections count="1">
        <selection n="[Calendar 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75226532-A17F-4497-8706-1FC294211D3E}" cache="Slicer_Date__Month" caption="Date (Month)" showCaption="0" level="1" style="My Style" rowHeight="360000"/>
  <slicer name="Date (Year)" xr10:uid="{472FB251-DF63-4462-B7C5-B89EDF501BF6}" cache="Slicer_Date__Year" caption="Date (Year)" showCaption="0" level="1"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5F8FC-5F79-4D38-8F2A-5F37F78649FC}">
  <dimension ref="A3:N89"/>
  <sheetViews>
    <sheetView showGridLines="0" tabSelected="1" zoomScaleNormal="100" workbookViewId="0">
      <selection activeCell="A4" sqref="A4"/>
    </sheetView>
  </sheetViews>
  <sheetFormatPr defaultRowHeight="14.4" x14ac:dyDescent="0.3"/>
  <cols>
    <col min="1" max="1" width="12.44140625" bestFit="1" customWidth="1"/>
    <col min="2" max="2" width="25.44140625" bestFit="1" customWidth="1"/>
    <col min="3" max="3" width="28.44140625" bestFit="1" customWidth="1"/>
    <col min="4" max="4" width="18.44140625" customWidth="1"/>
    <col min="9" max="9" width="23.33203125" bestFit="1" customWidth="1"/>
  </cols>
  <sheetData>
    <row r="3" spans="1:14" x14ac:dyDescent="0.3">
      <c r="A3" s="9" t="s">
        <v>2</v>
      </c>
      <c r="D3" s="9" t="s">
        <v>8</v>
      </c>
      <c r="E3" s="9"/>
      <c r="H3" s="9" t="s">
        <v>9</v>
      </c>
      <c r="I3" s="9"/>
      <c r="L3" s="9" t="s">
        <v>10</v>
      </c>
      <c r="M3" s="9"/>
      <c r="N3" s="9"/>
    </row>
    <row r="4" spans="1:14" x14ac:dyDescent="0.3">
      <c r="A4" t="s">
        <v>1</v>
      </c>
      <c r="D4" s="1" t="s">
        <v>7</v>
      </c>
      <c r="E4" t="s">
        <v>1</v>
      </c>
      <c r="H4" s="1" t="s">
        <v>7</v>
      </c>
      <c r="I4" t="s">
        <v>3</v>
      </c>
      <c r="L4" s="1" t="s">
        <v>7</v>
      </c>
      <c r="M4" t="s">
        <v>4</v>
      </c>
    </row>
    <row r="5" spans="1:14" x14ac:dyDescent="0.3">
      <c r="A5">
        <v>489</v>
      </c>
      <c r="D5" s="3" t="s">
        <v>43</v>
      </c>
      <c r="E5">
        <v>16</v>
      </c>
      <c r="H5" s="3" t="s">
        <v>43</v>
      </c>
      <c r="I5" s="2">
        <v>34.5</v>
      </c>
      <c r="L5" s="3" t="s">
        <v>43</v>
      </c>
      <c r="M5" s="2">
        <v>9</v>
      </c>
    </row>
    <row r="6" spans="1:14" x14ac:dyDescent="0.3">
      <c r="D6" s="3" t="s">
        <v>44</v>
      </c>
      <c r="E6">
        <v>15</v>
      </c>
      <c r="H6" s="3" t="s">
        <v>44</v>
      </c>
      <c r="I6" s="2">
        <v>35.4</v>
      </c>
      <c r="L6" s="3" t="s">
        <v>44</v>
      </c>
      <c r="M6" s="2">
        <v>4.4000000000000004</v>
      </c>
    </row>
    <row r="7" spans="1:14" x14ac:dyDescent="0.3">
      <c r="D7" s="3" t="s">
        <v>45</v>
      </c>
      <c r="E7">
        <v>14</v>
      </c>
      <c r="H7" s="3" t="s">
        <v>45</v>
      </c>
      <c r="I7" s="2">
        <v>34.928571428571431</v>
      </c>
      <c r="L7" s="3" t="s">
        <v>45</v>
      </c>
      <c r="M7" s="2">
        <v>4</v>
      </c>
    </row>
    <row r="8" spans="1:14" x14ac:dyDescent="0.3">
      <c r="A8" t="s">
        <v>3</v>
      </c>
      <c r="D8" s="3" t="s">
        <v>46</v>
      </c>
      <c r="E8">
        <v>12</v>
      </c>
      <c r="H8" s="3" t="s">
        <v>46</v>
      </c>
      <c r="I8" s="2">
        <v>44.25</v>
      </c>
      <c r="L8" s="3" t="s">
        <v>46</v>
      </c>
      <c r="M8" s="2">
        <v>0</v>
      </c>
    </row>
    <row r="9" spans="1:14" x14ac:dyDescent="0.3">
      <c r="A9" s="2">
        <v>34.764826175869118</v>
      </c>
      <c r="D9" s="3" t="s">
        <v>47</v>
      </c>
      <c r="E9">
        <v>16</v>
      </c>
      <c r="H9" s="3" t="s">
        <v>47</v>
      </c>
      <c r="I9" s="2">
        <v>40.1875</v>
      </c>
      <c r="L9" s="3" t="s">
        <v>47</v>
      </c>
      <c r="M9" s="2">
        <v>2.875</v>
      </c>
    </row>
    <row r="10" spans="1:14" x14ac:dyDescent="0.3">
      <c r="D10" s="3" t="s">
        <v>48</v>
      </c>
      <c r="E10">
        <v>11</v>
      </c>
      <c r="H10" s="3" t="s">
        <v>48</v>
      </c>
      <c r="I10" s="2">
        <v>35</v>
      </c>
      <c r="L10" s="3" t="s">
        <v>48</v>
      </c>
      <c r="M10" s="2">
        <v>5.25</v>
      </c>
    </row>
    <row r="11" spans="1:14" x14ac:dyDescent="0.3">
      <c r="A11" t="s">
        <v>4</v>
      </c>
      <c r="D11" s="3" t="s">
        <v>49</v>
      </c>
      <c r="E11">
        <v>7</v>
      </c>
      <c r="H11" s="3" t="s">
        <v>49</v>
      </c>
      <c r="I11" s="2">
        <v>43.142857142857146</v>
      </c>
      <c r="L11" s="3" t="s">
        <v>50</v>
      </c>
      <c r="M11" s="2">
        <v>6</v>
      </c>
    </row>
    <row r="12" spans="1:14" x14ac:dyDescent="0.3">
      <c r="A12" s="2">
        <v>4.6821705426356592</v>
      </c>
      <c r="D12" s="3" t="s">
        <v>50</v>
      </c>
      <c r="E12">
        <v>16</v>
      </c>
      <c r="H12" s="3" t="s">
        <v>50</v>
      </c>
      <c r="I12" s="2">
        <v>43.6875</v>
      </c>
      <c r="L12" s="3" t="s">
        <v>51</v>
      </c>
      <c r="M12" s="2">
        <v>6.5</v>
      </c>
    </row>
    <row r="13" spans="1:14" x14ac:dyDescent="0.3">
      <c r="D13" s="3" t="s">
        <v>51</v>
      </c>
      <c r="E13">
        <v>7</v>
      </c>
      <c r="H13" s="3" t="s">
        <v>51</v>
      </c>
      <c r="I13" s="2">
        <v>33.857142857142854</v>
      </c>
      <c r="L13" s="3" t="s">
        <v>52</v>
      </c>
      <c r="M13" s="2">
        <v>5.5</v>
      </c>
    </row>
    <row r="14" spans="1:14" x14ac:dyDescent="0.3">
      <c r="D14" s="3" t="s">
        <v>52</v>
      </c>
      <c r="E14">
        <v>16</v>
      </c>
      <c r="H14" s="3" t="s">
        <v>52</v>
      </c>
      <c r="I14" s="2">
        <v>40.1875</v>
      </c>
      <c r="L14" s="3" t="s">
        <v>53</v>
      </c>
      <c r="M14" s="2">
        <v>5.666666666666667</v>
      </c>
    </row>
    <row r="15" spans="1:14" x14ac:dyDescent="0.3">
      <c r="D15" s="3" t="s">
        <v>53</v>
      </c>
      <c r="E15">
        <v>16</v>
      </c>
      <c r="H15" s="3" t="s">
        <v>53</v>
      </c>
      <c r="I15" s="2">
        <v>34.9375</v>
      </c>
      <c r="L15" s="3" t="s">
        <v>54</v>
      </c>
      <c r="M15" s="2">
        <v>5.25</v>
      </c>
    </row>
    <row r="16" spans="1:14" x14ac:dyDescent="0.3">
      <c r="D16" s="3" t="s">
        <v>54</v>
      </c>
      <c r="E16">
        <v>19</v>
      </c>
      <c r="H16" s="3" t="s">
        <v>54</v>
      </c>
      <c r="I16" s="2">
        <v>28.684210526315791</v>
      </c>
      <c r="L16" s="3" t="s">
        <v>55</v>
      </c>
      <c r="M16" s="2">
        <v>7.25</v>
      </c>
    </row>
    <row r="17" spans="4:13" x14ac:dyDescent="0.3">
      <c r="D17" s="3" t="s">
        <v>55</v>
      </c>
      <c r="E17">
        <v>10</v>
      </c>
      <c r="H17" s="3" t="s">
        <v>55</v>
      </c>
      <c r="I17" s="2">
        <v>25</v>
      </c>
      <c r="L17" s="3" t="s">
        <v>56</v>
      </c>
      <c r="M17" s="2">
        <v>6</v>
      </c>
    </row>
    <row r="18" spans="4:13" x14ac:dyDescent="0.3">
      <c r="D18" s="3" t="s">
        <v>56</v>
      </c>
      <c r="E18">
        <v>13</v>
      </c>
      <c r="H18" s="3" t="s">
        <v>56</v>
      </c>
      <c r="I18" s="2">
        <v>35.46153846153846</v>
      </c>
      <c r="L18" s="3" t="s">
        <v>57</v>
      </c>
      <c r="M18" s="2">
        <v>4.5999999999999996</v>
      </c>
    </row>
    <row r="19" spans="4:13" x14ac:dyDescent="0.3">
      <c r="D19" s="3" t="s">
        <v>57</v>
      </c>
      <c r="E19">
        <v>27</v>
      </c>
      <c r="H19" s="3" t="s">
        <v>57</v>
      </c>
      <c r="I19" s="2">
        <v>33.814814814814817</v>
      </c>
      <c r="L19" s="3" t="s">
        <v>58</v>
      </c>
      <c r="M19" s="2">
        <v>8</v>
      </c>
    </row>
    <row r="20" spans="4:13" x14ac:dyDescent="0.3">
      <c r="D20" s="3" t="s">
        <v>58</v>
      </c>
      <c r="E20">
        <v>19</v>
      </c>
      <c r="H20" s="3" t="s">
        <v>58</v>
      </c>
      <c r="I20" s="2">
        <v>33.631578947368418</v>
      </c>
      <c r="L20" s="3" t="s">
        <v>59</v>
      </c>
      <c r="M20" s="2">
        <v>3.6666666666666665</v>
      </c>
    </row>
    <row r="21" spans="4:13" x14ac:dyDescent="0.3">
      <c r="D21" s="3" t="s">
        <v>59</v>
      </c>
      <c r="E21">
        <v>18</v>
      </c>
      <c r="H21" s="3" t="s">
        <v>59</v>
      </c>
      <c r="I21" s="2">
        <v>36.611111111111114</v>
      </c>
      <c r="L21" s="3" t="s">
        <v>60</v>
      </c>
      <c r="M21" s="2">
        <v>2.4285714285714284</v>
      </c>
    </row>
    <row r="22" spans="4:13" x14ac:dyDescent="0.3">
      <c r="D22" s="3" t="s">
        <v>60</v>
      </c>
      <c r="E22">
        <v>12</v>
      </c>
      <c r="H22" s="3" t="s">
        <v>60</v>
      </c>
      <c r="I22" s="2">
        <v>30.5</v>
      </c>
      <c r="L22" s="3" t="s">
        <v>61</v>
      </c>
      <c r="M22" s="2">
        <v>9</v>
      </c>
    </row>
    <row r="23" spans="4:13" x14ac:dyDescent="0.3">
      <c r="D23" s="3" t="s">
        <v>61</v>
      </c>
      <c r="E23">
        <v>20</v>
      </c>
      <c r="H23" s="3" t="s">
        <v>61</v>
      </c>
      <c r="I23" s="2">
        <v>33.6</v>
      </c>
      <c r="L23" s="3" t="s">
        <v>62</v>
      </c>
      <c r="M23" s="2">
        <v>6</v>
      </c>
    </row>
    <row r="24" spans="4:13" x14ac:dyDescent="0.3">
      <c r="D24" s="3" t="s">
        <v>62</v>
      </c>
      <c r="E24">
        <v>12</v>
      </c>
      <c r="H24" s="3" t="s">
        <v>62</v>
      </c>
      <c r="I24" s="2">
        <v>26.75</v>
      </c>
      <c r="L24" s="3" t="s">
        <v>63</v>
      </c>
      <c r="M24" s="2">
        <v>4</v>
      </c>
    </row>
    <row r="25" spans="4:13" x14ac:dyDescent="0.3">
      <c r="D25" s="3" t="s">
        <v>63</v>
      </c>
      <c r="E25">
        <v>19</v>
      </c>
      <c r="H25" s="3" t="s">
        <v>63</v>
      </c>
      <c r="I25" s="2">
        <v>37.684210526315788</v>
      </c>
      <c r="L25" s="3" t="s">
        <v>64</v>
      </c>
      <c r="M25" s="2">
        <v>4.833333333333333</v>
      </c>
    </row>
    <row r="26" spans="4:13" x14ac:dyDescent="0.3">
      <c r="D26" s="3" t="s">
        <v>64</v>
      </c>
      <c r="E26">
        <v>18</v>
      </c>
      <c r="H26" s="3" t="s">
        <v>64</v>
      </c>
      <c r="I26" s="2">
        <v>36.611111111111114</v>
      </c>
      <c r="L26" s="3" t="s">
        <v>65</v>
      </c>
      <c r="M26" s="2">
        <v>3.6</v>
      </c>
    </row>
    <row r="27" spans="4:13" x14ac:dyDescent="0.3">
      <c r="D27" s="3" t="s">
        <v>65</v>
      </c>
      <c r="E27">
        <v>21</v>
      </c>
      <c r="H27" s="3" t="s">
        <v>65</v>
      </c>
      <c r="I27" s="2">
        <v>35.428571428571431</v>
      </c>
      <c r="L27" s="3" t="s">
        <v>66</v>
      </c>
      <c r="M27" s="2">
        <v>5</v>
      </c>
    </row>
    <row r="28" spans="4:13" x14ac:dyDescent="0.3">
      <c r="D28" s="3" t="s">
        <v>66</v>
      </c>
      <c r="E28">
        <v>18</v>
      </c>
      <c r="H28" s="3" t="s">
        <v>66</v>
      </c>
      <c r="I28" s="2">
        <v>31.944444444444443</v>
      </c>
      <c r="L28" s="3" t="s">
        <v>67</v>
      </c>
      <c r="M28" s="2">
        <v>5.25</v>
      </c>
    </row>
    <row r="29" spans="4:13" x14ac:dyDescent="0.3">
      <c r="D29" s="3" t="s">
        <v>67</v>
      </c>
      <c r="E29">
        <v>16</v>
      </c>
      <c r="H29" s="3" t="s">
        <v>67</v>
      </c>
      <c r="I29" s="2">
        <v>31.875</v>
      </c>
      <c r="L29" s="3" t="s">
        <v>68</v>
      </c>
      <c r="M29" s="2">
        <v>3.2</v>
      </c>
    </row>
    <row r="30" spans="4:13" x14ac:dyDescent="0.3">
      <c r="D30" s="3" t="s">
        <v>68</v>
      </c>
      <c r="E30">
        <v>14</v>
      </c>
      <c r="H30" s="3" t="s">
        <v>68</v>
      </c>
      <c r="I30" s="2">
        <v>28.642857142857142</v>
      </c>
      <c r="L30" s="3" t="s">
        <v>69</v>
      </c>
      <c r="M30" s="2">
        <v>5.5</v>
      </c>
    </row>
    <row r="31" spans="4:13" x14ac:dyDescent="0.3">
      <c r="D31" s="3" t="s">
        <v>69</v>
      </c>
      <c r="E31">
        <v>14</v>
      </c>
      <c r="H31" s="3" t="s">
        <v>69</v>
      </c>
      <c r="I31" s="2">
        <v>39.214285714285715</v>
      </c>
      <c r="L31" s="3" t="s">
        <v>70</v>
      </c>
      <c r="M31" s="2">
        <v>3</v>
      </c>
    </row>
    <row r="32" spans="4:13" x14ac:dyDescent="0.3">
      <c r="D32" s="3" t="s">
        <v>70</v>
      </c>
      <c r="E32">
        <v>16</v>
      </c>
      <c r="H32" s="3" t="s">
        <v>70</v>
      </c>
      <c r="I32" s="2">
        <v>32.0625</v>
      </c>
      <c r="L32" s="3" t="s">
        <v>71</v>
      </c>
      <c r="M32" s="2">
        <v>3.9090909090909092</v>
      </c>
    </row>
    <row r="33" spans="1:13" x14ac:dyDescent="0.3">
      <c r="D33" s="3" t="s">
        <v>71</v>
      </c>
      <c r="E33">
        <v>21</v>
      </c>
      <c r="H33" s="3" t="s">
        <v>71</v>
      </c>
      <c r="I33" s="2">
        <v>28.285714285714285</v>
      </c>
      <c r="L33" s="3" t="s">
        <v>72</v>
      </c>
      <c r="M33" s="2">
        <v>2.6666666666666665</v>
      </c>
    </row>
    <row r="34" spans="1:13" x14ac:dyDescent="0.3">
      <c r="D34" s="3" t="s">
        <v>72</v>
      </c>
      <c r="E34">
        <v>21</v>
      </c>
      <c r="H34" s="3" t="s">
        <v>72</v>
      </c>
      <c r="I34" s="2">
        <v>35.476190476190474</v>
      </c>
      <c r="L34" s="3" t="s">
        <v>5</v>
      </c>
      <c r="M34" s="2">
        <v>4.6821705426356592</v>
      </c>
    </row>
    <row r="35" spans="1:13" x14ac:dyDescent="0.3">
      <c r="D35" s="3" t="s">
        <v>73</v>
      </c>
      <c r="E35">
        <v>15</v>
      </c>
      <c r="H35" s="3" t="s">
        <v>73</v>
      </c>
      <c r="I35" s="2">
        <v>39.799999999999997</v>
      </c>
    </row>
    <row r="36" spans="1:13" x14ac:dyDescent="0.3">
      <c r="D36" s="3" t="s">
        <v>5</v>
      </c>
      <c r="E36">
        <v>489</v>
      </c>
      <c r="H36" s="3" t="s">
        <v>5</v>
      </c>
      <c r="I36" s="2">
        <v>34.764826175869118</v>
      </c>
    </row>
    <row r="37" spans="1:13" x14ac:dyDescent="0.3">
      <c r="A37" s="1" t="s">
        <v>7</v>
      </c>
      <c r="B37" t="s">
        <v>11</v>
      </c>
      <c r="C37" t="s">
        <v>14</v>
      </c>
    </row>
    <row r="38" spans="1:13" x14ac:dyDescent="0.3">
      <c r="A38" s="3" t="s">
        <v>12</v>
      </c>
      <c r="B38" s="4">
        <v>250</v>
      </c>
      <c r="C38" s="5">
        <v>0.5112474437627812</v>
      </c>
    </row>
    <row r="39" spans="1:13" x14ac:dyDescent="0.3">
      <c r="A39" s="3" t="s">
        <v>13</v>
      </c>
      <c r="B39" s="4">
        <v>239</v>
      </c>
      <c r="C39" s="5">
        <v>0.4887525562372188</v>
      </c>
    </row>
    <row r="40" spans="1:13" x14ac:dyDescent="0.3">
      <c r="A40" s="3" t="s">
        <v>5</v>
      </c>
      <c r="B40" s="4">
        <v>489</v>
      </c>
      <c r="C40" s="5">
        <v>1</v>
      </c>
    </row>
    <row r="46" spans="1:13" x14ac:dyDescent="0.3">
      <c r="A46" s="8" t="s">
        <v>15</v>
      </c>
      <c r="B46" s="8" t="s">
        <v>16</v>
      </c>
      <c r="C46" s="8" t="s">
        <v>17</v>
      </c>
      <c r="D46" s="8"/>
    </row>
    <row r="47" spans="1:13" x14ac:dyDescent="0.3">
      <c r="A47" s="7" t="str">
        <f>A39</f>
        <v>Not Admitted</v>
      </c>
      <c r="B47" s="7">
        <f>B39</f>
        <v>239</v>
      </c>
      <c r="C47" s="6">
        <f>C39</f>
        <v>0.4887525562372188</v>
      </c>
      <c r="D47" s="7"/>
    </row>
    <row r="48" spans="1:13" x14ac:dyDescent="0.3">
      <c r="A48" s="7" t="str">
        <f>A38</f>
        <v>Admitted</v>
      </c>
      <c r="B48" s="7">
        <f>B38</f>
        <v>250</v>
      </c>
      <c r="C48" s="6">
        <f>C38</f>
        <v>0.5112474437627812</v>
      </c>
      <c r="D48" s="7"/>
    </row>
    <row r="51" spans="1:5" x14ac:dyDescent="0.3">
      <c r="A51" s="9" t="s">
        <v>27</v>
      </c>
      <c r="B51" s="9"/>
      <c r="D51" s="9" t="s">
        <v>8</v>
      </c>
      <c r="E51" s="9"/>
    </row>
    <row r="52" spans="1:5" x14ac:dyDescent="0.3">
      <c r="A52" s="1" t="s">
        <v>7</v>
      </c>
      <c r="B52" t="s">
        <v>26</v>
      </c>
      <c r="D52" s="1" t="s">
        <v>7</v>
      </c>
      <c r="E52" t="s">
        <v>1</v>
      </c>
    </row>
    <row r="53" spans="1:5" x14ac:dyDescent="0.3">
      <c r="A53" s="3" t="s">
        <v>18</v>
      </c>
      <c r="B53" s="4">
        <v>49</v>
      </c>
      <c r="D53" s="3" t="s">
        <v>43</v>
      </c>
      <c r="E53">
        <v>16</v>
      </c>
    </row>
    <row r="54" spans="1:5" x14ac:dyDescent="0.3">
      <c r="A54" s="3" t="s">
        <v>19</v>
      </c>
      <c r="B54" s="4">
        <v>56</v>
      </c>
      <c r="D54" s="3" t="s">
        <v>44</v>
      </c>
      <c r="E54">
        <v>15</v>
      </c>
    </row>
    <row r="55" spans="1:5" x14ac:dyDescent="0.3">
      <c r="A55" s="3" t="s">
        <v>20</v>
      </c>
      <c r="B55" s="4">
        <v>71</v>
      </c>
      <c r="D55" s="3" t="s">
        <v>45</v>
      </c>
      <c r="E55">
        <v>14</v>
      </c>
    </row>
    <row r="56" spans="1:5" x14ac:dyDescent="0.3">
      <c r="A56" s="3" t="s">
        <v>21</v>
      </c>
      <c r="B56" s="4">
        <v>72</v>
      </c>
      <c r="D56" s="3" t="s">
        <v>46</v>
      </c>
      <c r="E56">
        <v>12</v>
      </c>
    </row>
    <row r="57" spans="1:5" x14ac:dyDescent="0.3">
      <c r="A57" s="3" t="s">
        <v>22</v>
      </c>
      <c r="B57" s="4">
        <v>64</v>
      </c>
      <c r="D57" s="3" t="s">
        <v>47</v>
      </c>
      <c r="E57">
        <v>16</v>
      </c>
    </row>
    <row r="58" spans="1:5" x14ac:dyDescent="0.3">
      <c r="A58" s="3" t="s">
        <v>23</v>
      </c>
      <c r="B58" s="4">
        <v>60</v>
      </c>
      <c r="D58" s="3" t="s">
        <v>48</v>
      </c>
      <c r="E58">
        <v>11</v>
      </c>
    </row>
    <row r="59" spans="1:5" x14ac:dyDescent="0.3">
      <c r="A59" s="3" t="s">
        <v>24</v>
      </c>
      <c r="B59" s="4">
        <v>64</v>
      </c>
      <c r="D59" s="3" t="s">
        <v>49</v>
      </c>
      <c r="E59">
        <v>7</v>
      </c>
    </row>
    <row r="60" spans="1:5" x14ac:dyDescent="0.3">
      <c r="A60" s="3" t="s">
        <v>25</v>
      </c>
      <c r="B60" s="4">
        <v>53</v>
      </c>
      <c r="D60" s="3" t="s">
        <v>50</v>
      </c>
      <c r="E60">
        <v>16</v>
      </c>
    </row>
    <row r="61" spans="1:5" x14ac:dyDescent="0.3">
      <c r="A61" s="3" t="s">
        <v>5</v>
      </c>
      <c r="B61" s="4">
        <v>489</v>
      </c>
      <c r="D61" s="3" t="s">
        <v>51</v>
      </c>
      <c r="E61">
        <v>7</v>
      </c>
    </row>
    <row r="62" spans="1:5" x14ac:dyDescent="0.3">
      <c r="A62" s="10" t="s">
        <v>30</v>
      </c>
      <c r="B62" s="9"/>
      <c r="D62" s="3" t="s">
        <v>52</v>
      </c>
      <c r="E62">
        <v>16</v>
      </c>
    </row>
    <row r="63" spans="1:5" x14ac:dyDescent="0.3">
      <c r="A63" s="1" t="s">
        <v>7</v>
      </c>
      <c r="B63" t="s">
        <v>0</v>
      </c>
      <c r="D63" s="3" t="s">
        <v>53</v>
      </c>
      <c r="E63">
        <v>16</v>
      </c>
    </row>
    <row r="64" spans="1:5" x14ac:dyDescent="0.3">
      <c r="A64" s="3" t="s">
        <v>28</v>
      </c>
      <c r="B64" s="4">
        <v>286</v>
      </c>
      <c r="D64" s="3" t="s">
        <v>54</v>
      </c>
      <c r="E64">
        <v>19</v>
      </c>
    </row>
    <row r="65" spans="1:5" x14ac:dyDescent="0.3">
      <c r="A65" s="3" t="s">
        <v>29</v>
      </c>
      <c r="B65" s="4">
        <v>203</v>
      </c>
      <c r="D65" s="3" t="s">
        <v>55</v>
      </c>
      <c r="E65">
        <v>10</v>
      </c>
    </row>
    <row r="66" spans="1:5" x14ac:dyDescent="0.3">
      <c r="A66" s="3" t="s">
        <v>5</v>
      </c>
      <c r="B66" s="4">
        <v>489</v>
      </c>
      <c r="D66" s="3" t="s">
        <v>56</v>
      </c>
      <c r="E66">
        <v>13</v>
      </c>
    </row>
    <row r="67" spans="1:5" x14ac:dyDescent="0.3">
      <c r="D67" s="3" t="s">
        <v>57</v>
      </c>
      <c r="E67">
        <v>27</v>
      </c>
    </row>
    <row r="68" spans="1:5" x14ac:dyDescent="0.3">
      <c r="D68" s="3" t="s">
        <v>58</v>
      </c>
      <c r="E68">
        <v>19</v>
      </c>
    </row>
    <row r="69" spans="1:5" x14ac:dyDescent="0.3">
      <c r="A69" s="1" t="s">
        <v>7</v>
      </c>
      <c r="B69" t="s">
        <v>33</v>
      </c>
      <c r="D69" s="3" t="s">
        <v>59</v>
      </c>
      <c r="E69">
        <v>18</v>
      </c>
    </row>
    <row r="70" spans="1:5" x14ac:dyDescent="0.3">
      <c r="A70" s="3" t="s">
        <v>31</v>
      </c>
      <c r="B70" s="4">
        <v>240</v>
      </c>
      <c r="D70" s="3" t="s">
        <v>60</v>
      </c>
      <c r="E70">
        <v>12</v>
      </c>
    </row>
    <row r="71" spans="1:5" x14ac:dyDescent="0.3">
      <c r="A71" s="3" t="s">
        <v>32</v>
      </c>
      <c r="B71" s="4">
        <v>249</v>
      </c>
      <c r="D71" s="3" t="s">
        <v>61</v>
      </c>
      <c r="E71">
        <v>20</v>
      </c>
    </row>
    <row r="72" spans="1:5" x14ac:dyDescent="0.3">
      <c r="A72" s="3" t="s">
        <v>5</v>
      </c>
      <c r="B72" s="4">
        <v>489</v>
      </c>
      <c r="D72" s="3" t="s">
        <v>62</v>
      </c>
      <c r="E72">
        <v>12</v>
      </c>
    </row>
    <row r="73" spans="1:5" x14ac:dyDescent="0.3">
      <c r="D73" s="3" t="s">
        <v>63</v>
      </c>
      <c r="E73">
        <v>19</v>
      </c>
    </row>
    <row r="74" spans="1:5" x14ac:dyDescent="0.3">
      <c r="D74" s="3" t="s">
        <v>64</v>
      </c>
      <c r="E74">
        <v>18</v>
      </c>
    </row>
    <row r="75" spans="1:5" x14ac:dyDescent="0.3">
      <c r="A75" s="1" t="s">
        <v>7</v>
      </c>
      <c r="B75" t="s">
        <v>42</v>
      </c>
      <c r="D75" s="3" t="s">
        <v>65</v>
      </c>
      <c r="E75">
        <v>21</v>
      </c>
    </row>
    <row r="76" spans="1:5" x14ac:dyDescent="0.3">
      <c r="A76" s="3" t="s">
        <v>41</v>
      </c>
      <c r="B76" s="4">
        <v>8</v>
      </c>
      <c r="D76" s="3" t="s">
        <v>66</v>
      </c>
      <c r="E76">
        <v>18</v>
      </c>
    </row>
    <row r="77" spans="1:5" x14ac:dyDescent="0.3">
      <c r="A77" s="3" t="s">
        <v>35</v>
      </c>
      <c r="B77" s="4">
        <v>8</v>
      </c>
      <c r="D77" s="3" t="s">
        <v>67</v>
      </c>
      <c r="E77">
        <v>16</v>
      </c>
    </row>
    <row r="78" spans="1:5" x14ac:dyDescent="0.3">
      <c r="A78" s="3" t="s">
        <v>37</v>
      </c>
      <c r="B78" s="4">
        <v>11</v>
      </c>
      <c r="D78" s="3" t="s">
        <v>68</v>
      </c>
      <c r="E78">
        <v>14</v>
      </c>
    </row>
    <row r="79" spans="1:5" x14ac:dyDescent="0.3">
      <c r="A79" s="3" t="s">
        <v>40</v>
      </c>
      <c r="B79" s="4">
        <v>12</v>
      </c>
      <c r="D79" s="3" t="s">
        <v>69</v>
      </c>
      <c r="E79">
        <v>14</v>
      </c>
    </row>
    <row r="80" spans="1:5" x14ac:dyDescent="0.3">
      <c r="A80" s="3" t="s">
        <v>34</v>
      </c>
      <c r="B80" s="4">
        <v>18</v>
      </c>
      <c r="D80" s="3" t="s">
        <v>70</v>
      </c>
      <c r="E80">
        <v>16</v>
      </c>
    </row>
    <row r="81" spans="1:5" x14ac:dyDescent="0.3">
      <c r="A81" s="3" t="s">
        <v>39</v>
      </c>
      <c r="B81" s="4">
        <v>44</v>
      </c>
      <c r="D81" s="3" t="s">
        <v>71</v>
      </c>
      <c r="E81">
        <v>21</v>
      </c>
    </row>
    <row r="82" spans="1:5" x14ac:dyDescent="0.3">
      <c r="A82" s="3" t="s">
        <v>36</v>
      </c>
      <c r="B82" s="4">
        <v>110</v>
      </c>
      <c r="D82" s="3" t="s">
        <v>72</v>
      </c>
      <c r="E82">
        <v>21</v>
      </c>
    </row>
    <row r="83" spans="1:5" x14ac:dyDescent="0.3">
      <c r="A83" s="3" t="s">
        <v>38</v>
      </c>
      <c r="B83" s="4">
        <v>278</v>
      </c>
      <c r="D83" s="3" t="s">
        <v>73</v>
      </c>
      <c r="E83">
        <v>15</v>
      </c>
    </row>
    <row r="84" spans="1:5" x14ac:dyDescent="0.3">
      <c r="A84" s="3" t="s">
        <v>5</v>
      </c>
      <c r="B84" s="4">
        <v>489</v>
      </c>
      <c r="D84" s="3" t="s">
        <v>5</v>
      </c>
      <c r="E84">
        <v>489</v>
      </c>
    </row>
    <row r="87" spans="1:5" x14ac:dyDescent="0.3">
      <c r="A87" s="1" t="s">
        <v>7</v>
      </c>
    </row>
    <row r="88" spans="1:5" x14ac:dyDescent="0.3">
      <c r="A88" s="3" t="s">
        <v>6</v>
      </c>
    </row>
    <row r="89" spans="1:5" x14ac:dyDescent="0.3">
      <c r="A89" s="3" t="s">
        <v>5</v>
      </c>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5A8F0-74FA-4191-A853-53322FC4B9AE}">
  <dimension ref="A1"/>
  <sheetViews>
    <sheetView showGridLines="0" showRowColHeaders="0" zoomScale="79" zoomScaleNormal="80" workbookViewId="0"/>
  </sheetViews>
  <sheetFormatPr defaultRowHeight="14.4" x14ac:dyDescent="0.3"/>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795B2-63B8-4FB7-9C04-1BFF1D2F4DA3}">
  <dimension ref="A1"/>
  <sheetViews>
    <sheetView zoomScale="91"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5D602-DB3E-4328-89BF-7E819B81A236}">
  <dimension ref="A1"/>
  <sheetViews>
    <sheetView zoomScale="71"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308AD-630C-4B7C-AF2F-C33D0AFF2745}">
  <dimension ref="A1"/>
  <sheetViews>
    <sheetView zoomScale="80" zoomScaleNormal="80"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1AF943B-2F70-4058-A737-7251415CD80E}">
  <ds:schemaRefs/>
</ds:datastoreItem>
</file>

<file path=customXml/itemProps2.xml><?xml version="1.0" encoding="utf-8"?>
<ds:datastoreItem xmlns:ds="http://schemas.openxmlformats.org/officeDocument/2006/customXml" ds:itemID="{177CA344-683D-4999-89F0-CC569CA76482}">
  <ds:schemaRefs/>
</ds:datastoreItem>
</file>

<file path=customXml/itemProps3.xml><?xml version="1.0" encoding="utf-8"?>
<ds:datastoreItem xmlns:ds="http://schemas.openxmlformats.org/officeDocument/2006/customXml" ds:itemID="{4792FC0A-3C12-4F87-ABBB-83F43CC3802D}">
  <ds:schemaRefs>
    <ds:schemaRef ds:uri="http://schemas.microsoft.com/DataMashup"/>
  </ds:schemaRefs>
</ds:datastoreItem>
</file>

<file path=customXml/itemProps4.xml><?xml version="1.0" encoding="utf-8"?>
<ds:datastoreItem xmlns:ds="http://schemas.openxmlformats.org/officeDocument/2006/customXml" ds:itemID="{50076E57-4E01-43C3-86DD-1D99BE5065F4}">
  <ds:schemaRefs/>
</ds:datastoreItem>
</file>

<file path=customXml/itemProps5.xml><?xml version="1.0" encoding="utf-8"?>
<ds:datastoreItem xmlns:ds="http://schemas.openxmlformats.org/officeDocument/2006/customXml" ds:itemID="{A27E1535-2E6B-4346-9DC0-0E65E951F4E2}">
  <ds:schemaRefs/>
</ds:datastoreItem>
</file>

<file path=customXml/itemProps6.xml><?xml version="1.0" encoding="utf-8"?>
<ds:datastoreItem xmlns:ds="http://schemas.openxmlformats.org/officeDocument/2006/customXml" ds:itemID="{63A73DB5-E473-492F-8927-C32330D11E3C}">
  <ds:schemaRefs/>
</ds:datastoreItem>
</file>

<file path=customXml/itemProps7.xml><?xml version="1.0" encoding="utf-8"?>
<ds:datastoreItem xmlns:ds="http://schemas.openxmlformats.org/officeDocument/2006/customXml" ds:itemID="{FF8F676C-EE9F-4560-AEC4-0CD4753F3F1A}">
  <ds:schemaRefs/>
</ds:datastoreItem>
</file>

<file path=customXml/itemProps8.xml><?xml version="1.0" encoding="utf-8"?>
<ds:datastoreItem xmlns:ds="http://schemas.openxmlformats.org/officeDocument/2006/customXml" ds:itemID="{986ECDBE-56FD-4F3F-B08F-5D15F792BCFE}">
  <ds:schemaRefs/>
</ds:datastoreItem>
</file>

<file path=customXml/itemProps9.xml><?xml version="1.0" encoding="utf-8"?>
<ds:datastoreItem xmlns:ds="http://schemas.openxmlformats.org/officeDocument/2006/customXml" ds:itemID="{C8431975-1DD1-4AF3-B19B-F088E2629C7B}">
  <ds:schemaRefs/>
</ds:datastoreItem>
</file>

<file path=customXml/itemProps10.xml><?xml version="1.0" encoding="utf-8"?>
<ds:datastoreItem xmlns:ds="http://schemas.openxmlformats.org/officeDocument/2006/customXml" ds:itemID="{6A8EE9C8-8D46-4E1C-AEC0-A1150C756B83}">
  <ds:schemaRefs/>
</ds:datastoreItem>
</file>

<file path=customXml/itemProps11.xml><?xml version="1.0" encoding="utf-8"?>
<ds:datastoreItem xmlns:ds="http://schemas.openxmlformats.org/officeDocument/2006/customXml" ds:itemID="{75E63815-8C87-41B0-A862-A885A949E1C7}">
  <ds:schemaRefs/>
</ds:datastoreItem>
</file>

<file path=customXml/itemProps12.xml><?xml version="1.0" encoding="utf-8"?>
<ds:datastoreItem xmlns:ds="http://schemas.openxmlformats.org/officeDocument/2006/customXml" ds:itemID="{337AB6BD-D9BB-45E6-A758-15F3A1F314FD}">
  <ds:schemaRefs/>
</ds:datastoreItem>
</file>

<file path=customXml/itemProps13.xml><?xml version="1.0" encoding="utf-8"?>
<ds:datastoreItem xmlns:ds="http://schemas.openxmlformats.org/officeDocument/2006/customXml" ds:itemID="{893ABA25-5464-4D98-98AD-573CE9A5595E}">
  <ds:schemaRefs/>
</ds:datastoreItem>
</file>

<file path=customXml/itemProps14.xml><?xml version="1.0" encoding="utf-8"?>
<ds:datastoreItem xmlns:ds="http://schemas.openxmlformats.org/officeDocument/2006/customXml" ds:itemID="{99B8C104-F249-4D9E-9FFB-8D402B2607AC}">
  <ds:schemaRefs/>
</ds:datastoreItem>
</file>

<file path=customXml/itemProps15.xml><?xml version="1.0" encoding="utf-8"?>
<ds:datastoreItem xmlns:ds="http://schemas.openxmlformats.org/officeDocument/2006/customXml" ds:itemID="{7CDC011E-2156-4245-A98E-51F60C414793}">
  <ds:schemaRefs/>
</ds:datastoreItem>
</file>

<file path=customXml/itemProps16.xml><?xml version="1.0" encoding="utf-8"?>
<ds:datastoreItem xmlns:ds="http://schemas.openxmlformats.org/officeDocument/2006/customXml" ds:itemID="{91FAF514-9ACB-47CA-8AA6-DB6AA8C3751A}">
  <ds:schemaRefs/>
</ds:datastoreItem>
</file>

<file path=customXml/itemProps17.xml><?xml version="1.0" encoding="utf-8"?>
<ds:datastoreItem xmlns:ds="http://schemas.openxmlformats.org/officeDocument/2006/customXml" ds:itemID="{1A4DE435-E806-4ED1-AA6A-1ED0483AF0D3}">
  <ds:schemaRefs/>
</ds:datastoreItem>
</file>

<file path=customXml/itemProps18.xml><?xml version="1.0" encoding="utf-8"?>
<ds:datastoreItem xmlns:ds="http://schemas.openxmlformats.org/officeDocument/2006/customXml" ds:itemID="{FD6D0B35-0408-4810-BD5A-D4EED7B8C2F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Dashbord </vt:lpstr>
      <vt:lpstr>Daily ER No. of Patient </vt:lpstr>
      <vt:lpstr>Average wait time daily trend</vt:lpstr>
      <vt:lpstr>Satisfaction score daily tre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918085065427</dc:creator>
  <cp:lastModifiedBy>918085065427</cp:lastModifiedBy>
  <dcterms:created xsi:type="dcterms:W3CDTF">2026-03-27T14:57:47Z</dcterms:created>
  <dcterms:modified xsi:type="dcterms:W3CDTF">2026-04-09T18:01:47Z</dcterms:modified>
</cp:coreProperties>
</file>